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0e4e8ab68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1175439ce7c4e99"/>
    <x:sheet xmlns:r="http://schemas.openxmlformats.org/officeDocument/2006/relationships" name="Assumptions" sheetId="2" r:id="R65e87591c558424a"/>
    <x:sheet xmlns:r="http://schemas.openxmlformats.org/officeDocument/2006/relationships" name="Monthly Model" sheetId="3" r:id="Rda081de1db38461d"/>
    <x:sheet xmlns:r="http://schemas.openxmlformats.org/officeDocument/2006/relationships" name="Sources" sheetId="4" r:id="R86407a1dcbf4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원&quot;;[Red](#,##0&quot;원&quot;)"/>
    <x:numFmt numFmtId="201" formatCode="#,##0"/>
    <x:numFmt numFmtId="202" formatCode="0.0%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b/>
      <x:sz val="10"/>
      <x:color rgb="FF9A6700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1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200" fontId="7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201" fontId="6" fillId="6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91861b177476e" /><Relationship Type="http://schemas.openxmlformats.org/officeDocument/2006/relationships/theme" Target="/xl/theme/theme1.xml" Id="R1e28617e7a3d46e0" /><Relationship Type="http://schemas.openxmlformats.org/officeDocument/2006/relationships/sharedStrings" Target="/xl/sharedStrings.xml" Id="R4a4633eb2ad5400a" /><Relationship Type="http://schemas.openxmlformats.org/officeDocument/2006/relationships/worksheet" Target="/xl/worksheets/sheet1.xml" Id="R01175439ce7c4e99" /><Relationship Type="http://schemas.openxmlformats.org/officeDocument/2006/relationships/worksheet" Target="/xl/worksheets/sheet2.xml" Id="R65e87591c558424a" /><Relationship Type="http://schemas.openxmlformats.org/officeDocument/2006/relationships/worksheet" Target="/xl/worksheets/sheet3.xml" Id="Rda081de1db38461d" /><Relationship Type="http://schemas.openxmlformats.org/officeDocument/2006/relationships/worksheet" Target="/xl/worksheets/sheet4.xml" Id="R86407a1dcbf4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7" max="7" width="26" hidden="0" customWidth="1"/>
    <x:col min="8" max="8" width="38" hidden="0" customWidth="1"/>
  </x:cols>
  <x:sheetData>
    <x:row r="1">
      <x:c r="A1" s="32" t="str">
        <x:v>Lecture Notes business model overview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3" t="str">
        <x:v>Case selected</x:v>
      </x:c>
      <x:c r="B3" s="25" t="str">
        <x:v>Base</x:v>
      </x:c>
      <x:c r="C3" s="2"/>
      <x:c r="D3" s="2"/>
      <x:c r="E3" s="2"/>
      <x:c r="F3" s="2"/>
      <x:c r="G3" s="34" t="str">
        <x:v>Key offer</x:v>
      </x:c>
      <x:c r="H3" s="34" t="str">
        <x:v>Modeled treatment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3" t="str">
        <x:v>Month 12 paid customers</x:v>
      </x:c>
      <x:c r="B4" s="35" t="n">
        <x:f>967.0964339393432</x:f>
        <x:v>967.0964339393432</x:v>
      </x:c>
      <x:c r="C4" s="2"/>
      <x:c r="D4" s="2"/>
      <x:c r="E4" s="2"/>
      <x:c r="F4" s="2"/>
      <x:c r="G4" s="11" t="str">
        <x:v>14-day trial</x:v>
      </x:c>
      <x:c r="H4" s="11" t="str">
        <x:v>Up to 200 minutes, Essential/Edu functionality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3" t="str">
        <x:v>Month 12 net revenue</x:v>
      </x:c>
      <x:c r="B5" s="26" t="n">
        <x:f>13043702.008777592</x:f>
        <x:v>13043702.008777592</x:v>
      </x:c>
      <x:c r="C5" s="2"/>
      <x:c r="D5" s="2"/>
      <x:c r="E5" s="2"/>
      <x:c r="F5" s="2"/>
      <x:c r="G5" s="11" t="str">
        <x:v>Preorder</x:v>
      </x:c>
      <x:c r="H5" s="11" t="str">
        <x:v>First paid month free after card registration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3" t="str">
        <x:v>Month 12 operating cost</x:v>
      </x:c>
      <x:c r="B6" s="26" t="n">
        <x:f>8139057.6158632785</x:f>
        <x:v>8139057.6158632785</x:v>
      </x:c>
      <x:c r="C6" s="2"/>
      <x:c r="D6" s="2"/>
      <x:c r="E6" s="2"/>
      <x:c r="F6" s="2"/>
      <x:c r="G6" s="11" t="str">
        <x:v>Referral</x:v>
      </x:c>
      <x:c r="H6" s="11" t="str">
        <x:v>Two qualified activations unlock one free month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3" t="str">
        <x:v>Month 12 net profit</x:v>
      </x:c>
      <x:c r="B7" s="26" t="n">
        <x:f>4904644.392914314</x:f>
        <x:v>4904644.392914314</x:v>
      </x:c>
      <x:c r="C7" s="2"/>
      <x:c r="D7" s="2"/>
      <x:c r="E7" s="2"/>
      <x:c r="F7" s="2"/>
      <x:c r="G7" s="11" t="str">
        <x:v>Free plan</x:v>
      </x:c>
      <x:c r="H7" s="11" t="str">
        <x:v>No revenue; active users still create support/LLM load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3" t="str">
        <x:v>Month 12 net margin</x:v>
      </x:c>
      <x:c r="B8" s="27" t="n">
        <x:f>0.3760162866043548</x:f>
        <x:v>0.3760162866043548</x:v>
      </x:c>
      <x:c r="C8" s="2"/>
      <x:c r="D8" s="2"/>
      <x:c r="E8" s="2"/>
      <x:c r="F8" s="2"/>
      <x:c r="G8" s="11" t="str">
        <x:v>Essential</x:v>
      </x:c>
      <x:c r="H8" s="11" t="str">
        <x:v>21,900원 / month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11" t="str">
        <x:v>Edu</x:v>
      </x:c>
      <x:c r="H9" s="11" t="str">
        <x:v>12,900원 / month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11" t="str">
        <x:v>Pro</x:v>
      </x:c>
      <x:c r="H10" s="11" t="str">
        <x:v>28,900원 / month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6" t="str">
        <x:v>Unit economics and levers</x:v>
      </x:c>
      <x:c r="B11" s="36"/>
      <x:c r="C11" s="36"/>
      <x:c r="D11" s="36"/>
      <x:c r="E11" s="36"/>
      <x:c r="F11" s="2"/>
      <x:c r="G11" s="11" t="str">
        <x:v>Caution</x:v>
      </x:c>
      <x:c r="H11" s="11" t="str">
        <x:v>Card billing, VAT, payroll, refunds and annual plans need final policy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4" t="str">
        <x:v>Question</x:v>
      </x:c>
      <x:c r="B12" s="34" t="str">
        <x:v>Current model answer</x:v>
      </x:c>
      <x:c r="C12" s="34" t="str">
        <x:v>Primary lever</x:v>
      </x:c>
      <x:c r="D12" s="34" t="str">
        <x:v>Where to change</x:v>
      </x:c>
      <x:c r="E12" s="34" t="str">
        <x:v>Interpretation</x:v>
      </x:c>
      <x:c r="F12" s="2"/>
      <x:c r="G12" s="11" t="str">
        <x:v>Research examples</x:v>
      </x:c>
      <x:c r="H12" s="11" t="str">
        <x:v>See Sources tab for primary pages and implications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1" t="str">
        <x:v>What drives revenue?</x:v>
      </x:c>
      <x:c r="B13" s="11" t="str">
        <x:v>Paid customers × plan price</x:v>
      </x:c>
      <x:c r="C13" s="11" t="str">
        <x:v>Conversion, mix, churn</x:v>
      </x:c>
      <x:c r="D13" s="11" t="str">
        <x:v>Assumptions rows 15–21, 29–31</x:v>
      </x:c>
      <x:c r="E13" s="11" t="str">
        <x:v>Acquisition without retention does not compound</x:v>
      </x:c>
      <x:c r="F13" s="2"/>
      <x:c r="G13" s="11" t="str">
        <x:v>Use</x:v>
      </x:c>
      <x:c r="H13" s="11" t="str">
        <x:v>Change yellow cells on Assumptions, then review Overview and Monthly Model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1" t="str">
        <x:v>What drives gross variable cost?</x:v>
      </x:c>
      <x:c r="B14" s="11" t="str">
        <x:v>Lecture minutes × LLM minute cost</x:v>
      </x:c>
      <x:c r="C14" s="11" t="str">
        <x:v>Minutes per user, model cost</x:v>
      </x:c>
      <x:c r="D14" s="11" t="str">
        <x:v>Assumptions rows 36, 46</x:v>
      </x:c>
      <x:c r="E14" s="11" t="str">
        <x:v>LLM usage is the main variable-cost risk</x:v>
      </x:c>
      <x:c r="F14" s="2"/>
      <x:c r="G14" s="11" t="str">
        <x:v>Date</x:v>
      </x:c>
      <x:c r="H14" s="11" t="str">
        <x:v>2026-09-23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1" t="str">
        <x:v>What drives preorder cost?</x:v>
      </x:c>
      <x:c r="B15" s="11" t="str">
        <x:v>Preorder paid customers × ARPU</x:v>
      </x:c>
      <x:c r="C15" s="11" t="str">
        <x:v>Waitlist size, conversion</x:v>
      </x:c>
      <x:c r="D15" s="11" t="str">
        <x:v>Assumptions rows 25, 17</x:v>
      </x:c>
      <x:c r="E15" s="11" t="str">
        <x:v>First month is a deliberate acquisition subsidy</x:v>
      </x:c>
      <x:c r="F15" s="2"/>
      <x:c r="G15" s="11" t="str">
        <x:v>Scope</x:v>
      </x:c>
      <x:c r="H15" s="11" t="str">
        <x:v>Illustrative planning model, not accounting guidance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1" t="str">
        <x:v>What drives referral cost?</x:v>
      </x:c>
      <x:c r="B16" s="11" t="str">
        <x:v>Qualified referrals ÷ 2 × ARPU</x:v>
      </x:c>
      <x:c r="C16" s="11" t="str">
        <x:v>Qualification and cap</x:v>
      </x:c>
      <x:c r="D16" s="11" t="str">
        <x:v>Assumptions rows 34, 35</x:v>
      </x:c>
      <x:c r="E16" s="11" t="str">
        <x:v>Keep reward capped until payback is observed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1" t="str">
        <x:v>What is excluded?</x:v>
      </x:c>
      <x:c r="B17" s="11" t="str">
        <x:v>Payroll and tax are 0 in base</x:v>
      </x:c>
      <x:c r="C17" s="11" t="str">
        <x:v>Add actual costs</x:v>
      </x:c>
      <x:c r="D17" s="11" t="str">
        <x:v>Assumptions rows 51–52</x:v>
      </x:c>
      <x:c r="E17" s="11" t="str">
        <x:v>Net profit is pre-tax / pre-payroll until updated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11" t="str">
        <x:v>What to measure next?</x:v>
      </x:c>
      <x:c r="B18" s="11" t="str">
        <x:v>Funnel and minutes by plan</x:v>
      </x:c>
      <x:c r="C18" s="11" t="str">
        <x:v>Instrument events</x:v>
      </x:c>
      <x:c r="D18" s="11" t="str">
        <x:v>Product analytics</x:v>
      </x:c>
      <x:c r="E18" s="11" t="str">
        <x:v>Replace planning assumptions with actual cohorts</x:v>
      </x:c>
      <x:c r="F18" s="2"/>
      <x:c r="G18" s="34" t="str">
        <x:v>Month</x:v>
      </x:c>
      <x:c r="H18" s="34" t="str">
        <x:v>Net revenue</x:v>
      </x:c>
      <x:c r="I18" s="34" t="str">
        <x:v>Net profit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11" t="str">
        <x:v>Decision rule</x:v>
      </x:c>
      <x:c r="B19" s="11" t="str">
        <x:v>Run Downside / Base / Upside</x:v>
      </x:c>
      <x:c r="C19" s="11" t="str">
        <x:v>Case inputs</x:v>
      </x:c>
      <x:c r="D19" s="11" t="str">
        <x:v>Assumptions yellow cells</x:v>
      </x:c>
      <x:c r="E19" s="11" t="str">
        <x:v>Do not treat Base as a forecast commitment</x:v>
      </x:c>
      <x:c r="F19" s="2"/>
      <x:c r="G19" s="2" t="n">
        <x:v>1</x:v>
      </x:c>
      <x:c r="H19" s="20" t="n">
        <x:f>'Monthly Model'!C27</x:f>
        <x:v>0</x:v>
      </x:c>
      <x:c r="I19" s="20" t="n">
        <x:f>'Monthly Model'!C37</x:f>
        <x:v>-3763257.6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 t="n">
        <x:v>2</x:v>
      </x:c>
      <x:c r="H20" s="20" t="n">
        <x:f>'Monthly Model'!D27</x:f>
        <x:v>4220171.424</x:v>
      </x:c>
      <x:c r="I20" s="20" t="n">
        <x:f>'Monthly Model'!D37</x:f>
        <x:v>-569502.4158399999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 t="n">
        <x:v>3</x:v>
      </x:c>
      <x:c r="H21" s="20" t="n">
        <x:f>'Monthly Model'!E27</x:f>
        <x:v>6202549.362240001</x:v>
      </x:c>
      <x:c r="I21" s="20" t="n">
        <x:f>'Monthly Model'!E37</x:f>
        <x:v>791439.7076816009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 t="n">
        <x:v>4</x:v>
      </x:c>
      <x:c r="H22" s="20" t="n">
        <x:f>'Monthly Model'!F27</x:f>
        <x:v>7508883.73536</x:v>
      </x:c>
      <x:c r="I22" s="20" t="n">
        <x:f>'Monthly Model'!F37</x:f>
        <x:v>1647173.3955728002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 t="n">
        <x:v>5</x:v>
      </x:c>
      <x:c r="H23" s="20" t="n">
        <x:f>'Monthly Model'!G27</x:f>
        <x:v>8490551.218777152</x:v>
      </x:c>
      <x:c r="I23" s="20" t="n">
        <x:f>'Monthly Model'!G37</x:f>
        <x:v>2262424.283944335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 t="n">
        <x:v>6</x:v>
      </x:c>
      <x:c r="H24" s="20" t="n">
        <x:f>'Monthly Model'!H27</x:f>
        <x:v>9307250.839365575</x:v>
      </x:c>
      <x:c r="I24" s="20" t="n">
        <x:f>'Monthly Model'!H37</x:f>
        <x:v>2757224.0156913903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 t="n">
        <x:v>7</x:v>
      </x:c>
      <x:c r="H25" s="20" t="n">
        <x:f>'Monthly Model'!I27</x:f>
        <x:v>10032360.125643838</x:v>
      </x:c>
      <x:c r="I25" s="20" t="n">
        <x:f>'Monthly Model'!I37</x:f>
        <x:v>3186446.9716783203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 t="n">
        <x:v>8</x:v>
      </x:c>
      <x:c r="H26" s="20" t="n">
        <x:f>'Monthly Model'!J27</x:f>
        <x:v>10700351.625939192</x:v>
      </x:c>
      <x:c r="I26" s="20" t="n">
        <x:f>'Monthly Model'!J37</x:f>
        <x:v>3575605.244982008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 t="n">
        <x:v>9</x:v>
      </x:c>
      <x:c r="H27" s="20" t="n">
        <x:f>'Monthly Model'!K27</x:f>
        <x:v>11328136.3976817</x:v>
      </x:c>
      <x:c r="I27" s="20" t="n">
        <x:f>'Monthly Model'!K37</x:f>
        <x:v>3936959.677583389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 t="n">
        <x:v>10</x:v>
      </x:c>
      <x:c r="H28" s="20" t="n">
        <x:f>'Monthly Model'!L27</x:f>
        <x:v>11924674.465360738</x:v>
      </x:c>
      <x:c r="I28" s="20" t="n">
        <x:f>'Monthly Model'!L37</x:f>
        <x:v>4276772.991830917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 t="n">
        <x:v>11</x:v>
      </x:c>
      <x:c r="H29" s="20" t="n">
        <x:f>'Monthly Model'!M27</x:f>
        <x:v>12495305.27173596</x:v>
      </x:c>
      <x:c r="I29" s="20" t="n">
        <x:f>'Monthly Model'!M37</x:f>
        <x:v>4598576.74438679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 t="n">
        <x:v>12</x:v>
      </x:c>
      <x:c r="H30" s="20" t="n">
        <x:f>'Monthly Model'!N27</x:f>
        <x:v>13043702.008777592</x:v>
      </x:c>
      <x:c r="I30" s="20" t="n">
        <x:f>'Monthly Model'!N37</x:f>
        <x:v>4904644.392914314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7" max="7" width="23" hidden="0" customWidth="1"/>
    <x:col min="8" max="8" width="42" hidden="0" customWidth="1"/>
  </x:cols>
  <x:sheetData>
    <x:row r="1">
      <x:c r="A1" s="32" t="str">
        <x:v>Lecture Notes business model assumptions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Active case</x:v>
      </x:c>
      <x:c r="B3" s="37" t="str">
        <x:v>Base</x:v>
      </x:c>
      <x:c r="C3" s="2"/>
      <x:c r="D3" s="34" t="str">
        <x:v>Case</x:v>
      </x:c>
      <x:c r="E3" s="34" t="str">
        <x:v>Downside</x:v>
      </x:c>
      <x:c r="F3" s="34" t="str">
        <x:v>Base</x:v>
      </x:c>
      <x:c r="G3" s="34" t="str">
        <x:v>Upside</x:v>
      </x:c>
      <x:c r="H3" s="34" t="str">
        <x:v>Notes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Model horizon (months)</x:v>
      </x:c>
      <x:c r="B4" s="5" t="n">
        <x:v>12</x:v>
      </x:c>
      <x:c r="C4" s="2"/>
      <x:c r="D4" s="11" t="str">
        <x:v>Meaning</x:v>
      </x:c>
      <x:c r="E4" s="11" t="str">
        <x:v>Lower acquisition / higher churn</x:v>
      </x:c>
      <x:c r="F4" s="11" t="str">
        <x:v>Planning case</x:v>
      </x:c>
      <x:c r="G4" s="11" t="str">
        <x:v>Higher acquisition / lower churn</x:v>
      </x:c>
      <x:c r="H4" s="11" t="str">
        <x:v>Change yellow cells only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Currency</x:v>
      </x:c>
      <x:c r="B5" s="5" t="str">
        <x:v>KRW</x:v>
      </x:c>
      <x:c r="C5" s="2"/>
      <x:c r="D5" s="11" t="str">
        <x:v>Selector</x:v>
      </x:c>
      <x:c r="E5" s="11" t="n">
        <x:v>1</x:v>
      </x:c>
      <x:c r="F5" s="11" t="n">
        <x:v>2</x:v>
      </x:c>
      <x:c r="G5" s="11" t="n">
        <x:v>3</x:v>
      </x:c>
      <x:c r="H5" s="11" t="str">
        <x:v>The build currently uses Base column values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6" t="str">
        <x:v>Pricing and trial</x:v>
      </x:c>
      <x:c r="B8" s="36"/>
      <x:c r="C8" s="36"/>
      <x:c r="D8" s="36"/>
      <x:c r="E8" s="36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4" t="str">
        <x:v>Driver</x:v>
      </x:c>
      <x:c r="B9" s="34" t="str">
        <x:v>Value</x:v>
      </x:c>
      <x:c r="C9" s="34" t="str">
        <x:v>Downside</x:v>
      </x:c>
      <x:c r="D9" s="34" t="str">
        <x:v>Base</x:v>
      </x:c>
      <x:c r="E9" s="34" t="str">
        <x:v>Upside</x:v>
      </x:c>
      <x:c r="F9" s="2"/>
      <x:c r="G9" s="34" t="str">
        <x:v>Offer rule</x:v>
      </x:c>
      <x:c r="H9" s="34" t="str">
        <x:v>Model treatment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Essential monthly price</x:v>
      </x:c>
      <x:c r="B10" s="15" t="n">
        <x:v>21900</x:v>
      </x:c>
      <x:c r="C10" s="15" t="n">
        <x:v>21900</x:v>
      </x:c>
      <x:c r="D10" s="15" t="n">
        <x:v>21900</x:v>
      </x:c>
      <x:c r="E10" s="15" t="n">
        <x:v>21900</x:v>
      </x:c>
      <x:c r="F10" s="2"/>
      <x:c r="G10" s="11" t="str">
        <x:v>Preorder benefit</x:v>
      </x:c>
      <x:c r="H10" s="11" t="str">
        <x:v>First paid month free after card registration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Edu monthly price</x:v>
      </x:c>
      <x:c r="B11" s="15" t="n">
        <x:v>12900</x:v>
      </x:c>
      <x:c r="C11" s="15" t="n">
        <x:v>12900</x:v>
      </x:c>
      <x:c r="D11" s="15" t="n">
        <x:v>12900</x:v>
      </x:c>
      <x:c r="E11" s="15" t="n">
        <x:v>12900</x:v>
      </x:c>
      <x:c r="F11" s="2"/>
      <x:c r="G11" s="11" t="str">
        <x:v>Referral reward</x:v>
      </x:c>
      <x:c r="H11" s="11" t="str">
        <x:v>1 free month for each 2 qualified referred activations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Pro monthly price</x:v>
      </x:c>
      <x:c r="B12" s="15" t="n">
        <x:v>28900</x:v>
      </x:c>
      <x:c r="C12" s="15" t="n">
        <x:v>28900</x:v>
      </x:c>
      <x:c r="D12" s="15" t="n">
        <x:v>28900</x:v>
      </x:c>
      <x:c r="E12" s="15" t="n">
        <x:v>28900</x:v>
      </x:c>
      <x:c r="F12" s="2"/>
      <x:c r="G12" s="11" t="str">
        <x:v>Qualified referral</x:v>
      </x:c>
      <x:c r="H12" s="11" t="str">
        <x:v>Referral signup starts trial and completes first summary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Trial days</x:v>
      </x:c>
      <x:c r="B13" s="16" t="n">
        <x:v>14</x:v>
      </x:c>
      <x:c r="C13" s="16" t="n">
        <x:v>14</x:v>
      </x:c>
      <x:c r="D13" s="16" t="n">
        <x:v>14</x:v>
      </x:c>
      <x:c r="E13" s="16" t="n">
        <x:v>14</x:v>
      </x:c>
      <x:c r="F13" s="2"/>
      <x:c r="G13" s="11" t="str">
        <x:v>Free plan</x:v>
      </x:c>
      <x:c r="H13" s="11" t="str">
        <x:v>No revenue; still consumes support / infrastructure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Trial minutes cap</x:v>
      </x:c>
      <x:c r="B14" s="16" t="n">
        <x:v>200</x:v>
      </x:c>
      <x:c r="C14" s="16" t="n">
        <x:v>200</x:v>
      </x:c>
      <x:c r="D14" s="16" t="n">
        <x:v>200</x:v>
      </x:c>
      <x:c r="E14" s="16" t="n">
        <x:v>200</x:v>
      </x:c>
      <x:c r="F14" s="2"/>
      <x:c r="G14" s="11" t="str">
        <x:v>Card billing</x:v>
      </x:c>
      <x:c r="H14" s="11" t="str">
        <x:v>Revenue begins after free month / trial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Trial start rate</x:v>
      </x:c>
      <x:c r="B15" s="17" t="n">
        <x:v>0.7</x:v>
      </x:c>
      <x:c r="C15" s="17" t="n">
        <x:v>0.6</x:v>
      </x:c>
      <x:c r="D15" s="17" t="n">
        <x:v>0.7</x:v>
      </x:c>
      <x:c r="E15" s="17" t="n">
        <x:v>0.8</x:v>
      </x:c>
      <x:c r="F15" s="2"/>
      <x:c r="G15" s="11" t="str">
        <x:v>Important</x:v>
      </x:c>
      <x:c r="H15" s="11" t="str">
        <x:v>Replace assumptions with measured funnel data as soon as available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Regular trial to paid</x:v>
      </x:c>
      <x:c r="B16" s="17" t="n">
        <x:v>0.28</x:v>
      </x:c>
      <x:c r="C16" s="17" t="n">
        <x:v>0.2</x:v>
      </x:c>
      <x:c r="D16" s="17" t="n">
        <x:v>0.28</x:v>
      </x:c>
      <x:c r="E16" s="17" t="n">
        <x:v>0.36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Preorder to paid</x:v>
      </x:c>
      <x:c r="B17" s="17" t="n">
        <x:v>0.35</x:v>
      </x:c>
      <x:c r="C17" s="17" t="n">
        <x:v>0.25</x:v>
      </x:c>
      <x:c r="D17" s="17" t="n">
        <x:v>0.35</x:v>
      </x:c>
      <x:c r="E17" s="17" t="n">
        <x:v>0.45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Paid plan mix: Essential</x:v>
      </x:c>
      <x:c r="B18" s="17" t="n">
        <x:v>0.45</x:v>
      </x:c>
      <x:c r="C18" s="17" t="n">
        <x:v>0.5</x:v>
      </x:c>
      <x:c r="D18" s="17" t="n">
        <x:v>0.45</x:v>
      </x:c>
      <x:c r="E18" s="17" t="n">
        <x:v>0.4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Paid plan mix: Edu</x:v>
      </x:c>
      <x:c r="B19" s="17" t="n">
        <x:v>0.4</x:v>
      </x:c>
      <x:c r="C19" s="17" t="n">
        <x:v>0.38</x:v>
      </x:c>
      <x:c r="D19" s="17" t="n">
        <x:v>0.4</x:v>
      </x:c>
      <x:c r="E19" s="17" t="n">
        <x:v>0.42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Paid plan mix: Pro</x:v>
      </x:c>
      <x:c r="B20" s="17" t="n">
        <x:v>0.15</x:v>
      </x:c>
      <x:c r="C20" s="17" t="n">
        <x:v>0.12</x:v>
      </x:c>
      <x:c r="D20" s="17" t="n">
        <x:v>0.15</x:v>
      </x:c>
      <x:c r="E20" s="17" t="n">
        <x:v>0.18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6" t="str">
        <x:v>Acquisition and retention drivers</x:v>
      </x:c>
      <x:c r="B23" s="36"/>
      <x:c r="C23" s="36"/>
      <x:c r="D23" s="36"/>
      <x:c r="E23" s="36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4" t="str">
        <x:v>Driver</x:v>
      </x:c>
      <x:c r="B24" s="34" t="str">
        <x:v>Value</x:v>
      </x:c>
      <x:c r="C24" s="34" t="str">
        <x:v>Downside</x:v>
      </x:c>
      <x:c r="D24" s="34" t="str">
        <x:v>Base</x:v>
      </x:c>
      <x:c r="E24" s="34" t="str">
        <x:v>Upside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Preorder waitlist signups (month 1)</x:v>
      </x:c>
      <x:c r="B25" s="16" t="n">
        <x:v>800</x:v>
      </x:c>
      <x:c r="C25" s="16" t="n">
        <x:v>500</x:v>
      </x:c>
      <x:c r="D25" s="16" t="n">
        <x:v>800</x:v>
      </x:c>
      <x:c r="E25" s="16" t="n">
        <x:v>1200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Organic signups (month 1)</x:v>
      </x:c>
      <x:c r="B26" s="16" t="n">
        <x:v>120</x:v>
      </x:c>
      <x:c r="C26" s="16" t="n">
        <x:v>80</x:v>
      </x:c>
      <x:c r="D26" s="16" t="n">
        <x:v>120</x:v>
      </x:c>
      <x:c r="E26" s="16" t="n">
        <x:v>180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Organic monthly growth</x:v>
      </x:c>
      <x:c r="B27" s="17" t="n">
        <x:v>0.08</x:v>
      </x:c>
      <x:c r="C27" s="17" t="n">
        <x:v>0.03</x:v>
      </x:c>
      <x:c r="D27" s="17" t="n">
        <x:v>0.08</x:v>
      </x:c>
      <x:c r="E27" s="17" t="n">
        <x:v>0.15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 t="str">
        <x:v>Referral share of new signups</x:v>
      </x:c>
      <x:c r="B28" s="17" t="n">
        <x:v>0.08</x:v>
      </x:c>
      <x:c r="C28" s="17" t="n">
        <x:v>0.04</x:v>
      </x:c>
      <x:c r="D28" s="17" t="n">
        <x:v>0.08</x:v>
      </x:c>
      <x:c r="E28" s="17" t="n">
        <x:v>0.14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Free-plan activation from signup</x:v>
      </x:c>
      <x:c r="B29" s="17" t="n">
        <x:v>0.55</x:v>
      </x:c>
      <x:c r="C29" s="17" t="n">
        <x:v>0.5</x:v>
      </x:c>
      <x:c r="D29" s="17" t="n">
        <x:v>0.55</x:v>
      </x:c>
      <x:c r="E29" s="17" t="n">
        <x:v>0.65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Monthly paid churn: Essential</x:v>
      </x:c>
      <x:c r="B30" s="17" t="n">
        <x:v>0.06</x:v>
      </x:c>
      <x:c r="C30" s="17" t="n">
        <x:v>0.08</x:v>
      </x:c>
      <x:c r="D30" s="17" t="n">
        <x:v>0.06</x:v>
      </x:c>
      <x:c r="E30" s="17" t="n">
        <x:v>0.04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Monthly paid churn: Edu</x:v>
      </x:c>
      <x:c r="B31" s="17" t="n">
        <x:v>0.05</x:v>
      </x:c>
      <x:c r="C31" s="17" t="n">
        <x:v>0.07</x:v>
      </x:c>
      <x:c r="D31" s="17" t="n">
        <x:v>0.05</x:v>
      </x:c>
      <x:c r="E31" s="17" t="n">
        <x:v>0.035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 t="str">
        <x:v>Monthly paid churn: Pro</x:v>
      </x:c>
      <x:c r="B32" s="17" t="n">
        <x:v>0.04</x:v>
      </x:c>
      <x:c r="C32" s="17" t="n">
        <x:v>0.06</x:v>
      </x:c>
      <x:c r="D32" s="17" t="n">
        <x:v>0.04</x:v>
      </x:c>
      <x:c r="E32" s="17" t="n">
        <x:v>0.025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 t="str">
        <x:v>Referral qualified rate</x:v>
      </x:c>
      <x:c r="B33" s="17" t="n">
        <x:v>0.6</x:v>
      </x:c>
      <x:c r="C33" s="17" t="n">
        <x:v>0.45</x:v>
      </x:c>
      <x:c r="D33" s="17" t="n">
        <x:v>0.6</x:v>
      </x:c>
      <x:c r="E33" s="17" t="n">
        <x:v>0.72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 t="str">
        <x:v>Referral reward cap (months)</x:v>
      </x:c>
      <x:c r="B34" s="16" t="n">
        <x:v>1</x:v>
      </x:c>
      <x:c r="C34" s="16" t="n">
        <x:v>1</x:v>
      </x:c>
      <x:c r="D34" s="16" t="n">
        <x:v>1</x:v>
      </x:c>
      <x:c r="E34" s="16" t="n">
        <x:v>1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 t="str">
        <x:v>Average free users per paid user</x:v>
      </x:c>
      <x:c r="B35" s="16" t="n">
        <x:v>1.2</x:v>
      </x:c>
      <x:c r="C35" s="16" t="n">
        <x:v>1.5</x:v>
      </x:c>
      <x:c r="D35" s="16" t="n">
        <x:v>1.2</x:v>
      </x:c>
      <x:c r="E35" s="16" t="n">
        <x:v>0.9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 t="str">
        <x:v>Average lecture minutes per paid user</x:v>
      </x:c>
      <x:c r="B36" s="16" t="n">
        <x:v>120</x:v>
      </x:c>
      <x:c r="C36" s="16" t="n">
        <x:v>150</x:v>
      </x:c>
      <x:c r="D36" s="16" t="n">
        <x:v>120</x:v>
      </x:c>
      <x:c r="E36" s="16" t="n">
        <x:v>100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 t="str">
        <x:v>Average lecture minutes per free user</x:v>
      </x:c>
      <x:c r="B37" s="16" t="n">
        <x:v>60</x:v>
      </x:c>
      <x:c r="C37" s="16" t="n">
        <x:v>75</x:v>
      </x:c>
      <x:c r="D37" s="16" t="n">
        <x:v>60</x:v>
      </x:c>
      <x:c r="E37" s="16" t="n">
        <x:v>45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6" t="str">
        <x:v>Cost and operating drivers</x:v>
      </x:c>
      <x:c r="B40" s="36"/>
      <x:c r="C40" s="36"/>
      <x:c r="D40" s="36"/>
      <x:c r="E40" s="36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4" t="str">
        <x:v>Driver</x:v>
      </x:c>
      <x:c r="B41" s="34" t="str">
        <x:v>Value</x:v>
      </x:c>
      <x:c r="C41" s="34" t="str">
        <x:v>Downside</x:v>
      </x:c>
      <x:c r="D41" s="34" t="str">
        <x:v>Base</x:v>
      </x:c>
      <x:c r="E41" s="34" t="str">
        <x:v>Upside</x:v>
      </x:c>
      <x:c r="F41" s="2"/>
      <x:c r="G41" s="34" t="str">
        <x:v>Cost note</x:v>
      </x:c>
      <x:c r="H41" s="34" t="str">
        <x:v>Interpretation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 t="str">
        <x:v>Vercel monthly fixed cost</x:v>
      </x:c>
      <x:c r="B42" s="15" t="n">
        <x:v>250000</x:v>
      </x:c>
      <x:c r="C42" s="15" t="n">
        <x:v>300000</x:v>
      </x:c>
      <x:c r="D42" s="15" t="n">
        <x:v>250000</x:v>
      </x:c>
      <x:c r="E42" s="15" t="n">
        <x:v>250000</x:v>
      </x:c>
      <x:c r="F42" s="2"/>
      <x:c r="G42" s="11" t="str">
        <x:v>LLM API</x:v>
      </x:c>
      <x:c r="H42" s="11" t="str">
        <x:v>Variable cost driven by lecture minutes; replace with provider invoice data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 t="str">
        <x:v>Supabase monthly fixed cost</x:v>
      </x:c>
      <x:c r="B43" s="15" t="n">
        <x:v>250000</x:v>
      </x:c>
      <x:c r="C43" s="15" t="n">
        <x:v>300000</x:v>
      </x:c>
      <x:c r="D43" s="15" t="n">
        <x:v>250000</x:v>
      </x:c>
      <x:c r="E43" s="15" t="n">
        <x:v>250000</x:v>
      </x:c>
      <x:c r="F43" s="2"/>
      <x:c r="G43" s="11" t="str">
        <x:v>Vercel / Supabase</x:v>
      </x:c>
      <x:c r="H43" s="11" t="str">
        <x:v>Modeled as fixed monthly baseline; change to actual plan + overage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 t="str">
        <x:v>Other fixed operating cost</x:v>
      </x:c>
      <x:c r="B44" s="15" t="n">
        <x:v>200000</x:v>
      </x:c>
      <x:c r="C44" s="15" t="n">
        <x:v>300000</x:v>
      </x:c>
      <x:c r="D44" s="15" t="n">
        <x:v>200000</x:v>
      </x:c>
      <x:c r="E44" s="15" t="n">
        <x:v>150000</x:v>
      </x:c>
      <x:c r="F44" s="2"/>
      <x:c r="G44" s="11" t="str">
        <x:v>Payment fee</x:v>
      </x:c>
      <x:c r="H44" s="11" t="str">
        <x:v>Approximation only; confirm processor fee and tax treatment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 t="str">
        <x:v>Marketing and support cost</x:v>
      </x:c>
      <x:c r="B45" s="15" t="n">
        <x:v>1000000</x:v>
      </x:c>
      <x:c r="C45" s="15" t="n">
        <x:v>1500000</x:v>
      </x:c>
      <x:c r="D45" s="15" t="n">
        <x:v>1000000</x:v>
      </x:c>
      <x:c r="E45" s="15" t="n">
        <x:v>800000</x:v>
      </x:c>
      <x:c r="F45" s="2"/>
      <x:c r="G45" s="11" t="str">
        <x:v>Payroll</x:v>
      </x:c>
      <x:c r="H45" s="11" t="str">
        <x:v>Explicitly excluded until staffing plan is known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 t="str">
        <x:v>LLM API cost per lecture minute</x:v>
      </x:c>
      <x:c r="B46" s="15" t="n">
        <x:v>35</x:v>
      </x:c>
      <x:c r="C46" s="15" t="n">
        <x:v>45</x:v>
      </x:c>
      <x:c r="D46" s="15" t="n">
        <x:v>35</x:v>
      </x:c>
      <x:c r="E46" s="15" t="n">
        <x:v>25</x:v>
      </x:c>
      <x:c r="F46" s="2"/>
      <x:c r="G46" s="11" t="str">
        <x:v>Tax / VAT</x:v>
      </x:c>
      <x:c r="H46" s="11" t="str">
        <x:v>Set to actual reserve when tax treatment is decided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 t="str">
        <x:v>Payment processing rate</x:v>
      </x:c>
      <x:c r="B47" s="17" t="n">
        <x:v>0.035</x:v>
      </x:c>
      <x:c r="C47" s="17" t="n">
        <x:v>0.035</x:v>
      </x:c>
      <x:c r="D47" s="17" t="n">
        <x:v>0.035</x:v>
      </x:c>
      <x:c r="E47" s="17" t="n">
        <x:v>0.03</x:v>
      </x:c>
      <x:c r="F47" s="2"/>
      <x:c r="G47" s="11" t="str">
        <x:v>Break-even</x:v>
      </x:c>
      <x:c r="H47" s="11" t="str">
        <x:v>Net profit before excluded payroll and tax reserve if set to 0%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 t="str">
        <x:v>Payment fixed fee per transaction</x:v>
      </x:c>
      <x:c r="B48" s="15" t="n">
        <x:v>100</x:v>
      </x:c>
      <x:c r="C48" s="15" t="n">
        <x:v>100</x:v>
      </x:c>
      <x:c r="D48" s="15" t="n">
        <x:v>100</x:v>
      </x:c>
      <x:c r="E48" s="15" t="n">
        <x:v>100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 t="str">
        <x:v>Variable support cost per active user</x:v>
      </x:c>
      <x:c r="B49" s="15" t="n">
        <x:v>400</x:v>
      </x:c>
      <x:c r="C49" s="15" t="n">
        <x:v>500</x:v>
      </x:c>
      <x:c r="D49" s="15" t="n">
        <x:v>400</x:v>
      </x:c>
      <x:c r="E49" s="15" t="n">
        <x:v>300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 t="str">
        <x:v>Referral reward cost basis</x:v>
      </x:c>
      <x:c r="B50" s="15" t="str">
        <x:v>Weighted ARPU</x:v>
      </x:c>
      <x:c r="C50" s="15" t="str">
        <x:v>Weighted ARPU</x:v>
      </x:c>
      <x:c r="D50" s="15" t="str">
        <x:v>Weighted ARPU</x:v>
      </x:c>
      <x:c r="E50" s="15" t="str">
        <x:v>Weighted ARPU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 t="str">
        <x:v>Tax / VAT reserve rate</x:v>
      </x:c>
      <x:c r="B51" s="17" t="n">
        <x:v>0</x:v>
      </x:c>
      <x:c r="C51" s="17" t="n">
        <x:v>0</x:v>
      </x:c>
      <x:c r="D51" s="17" t="n">
        <x:v>0</x:v>
      </x:c>
      <x:c r="E51" s="17" t="n">
        <x:v>0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 t="str">
        <x:v>Founder salary / payroll not included</x:v>
      </x:c>
      <x:c r="B52" s="5" t="n">
        <x:v>0</x:v>
      </x:c>
      <x:c r="C52" s="5" t="n">
        <x:v>0</x:v>
      </x:c>
      <x:c r="D52" s="5" t="n">
        <x:v>0</x:v>
      </x:c>
      <x:c r="E52" s="5" t="n">
        <x:v>0</x:v>
      </x:c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8:E8"/>
    <x:mergeCell ref="A23:E23"/>
    <x:mergeCell ref="A40:E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2" t="str">
        <x:v>Monthly operating model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4" t="str">
        <x:v>Metric</x:v>
      </x:c>
      <x:c r="B3" s="34" t="str">
        <x:v>Unit</x:v>
      </x:c>
      <x:c r="C3" s="34" t="str">
        <x:v>Month 1</x:v>
      </x:c>
      <x:c r="D3" s="34" t="str">
        <x:v>Month 2</x:v>
      </x:c>
      <x:c r="E3" s="34" t="str">
        <x:v>Month 3</x:v>
      </x:c>
      <x:c r="F3" s="34" t="str">
        <x:v>Month 4</x:v>
      </x:c>
      <x:c r="G3" s="34" t="str">
        <x:v>Month 5</x:v>
      </x:c>
      <x:c r="H3" s="34" t="str">
        <x:v>Month 6</x:v>
      </x:c>
      <x:c r="I3" s="34" t="str">
        <x:v>Month 7</x:v>
      </x:c>
      <x:c r="J3" s="34" t="str">
        <x:v>Month 8</x:v>
      </x:c>
      <x:c r="K3" s="34" t="str">
        <x:v>Month 9</x:v>
      </x:c>
      <x:c r="L3" s="34" t="str">
        <x:v>Month 10</x:v>
      </x:c>
      <x:c r="M3" s="34" t="str">
        <x:v>Month 11</x:v>
      </x:c>
      <x:c r="N3" s="34" t="str">
        <x:v>Month 12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6" t="str">
        <x:v>Acquisition funnel</x:v>
      </x:c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Preorder waitlist signups</x:v>
      </x:c>
      <x:c r="B6" s="2" t="str">
        <x:v>people</x:v>
      </x:c>
      <x:c r="C6" s="18" t="n">
        <x:f>'Assumptions'!$B$25</x:f>
        <x:v>800</x:v>
      </x:c>
      <x:c r="D6" s="18" t="n">
        <x:f>'Assumptions'!$B$25</x:f>
        <x:v>800</x:v>
      </x:c>
      <x:c r="E6" s="18" t="n">
        <x:f>'Assumptions'!$B$25</x:f>
        <x:v>800</x:v>
      </x:c>
      <x:c r="F6" s="18" t="n">
        <x:f>'Assumptions'!$B$25</x:f>
        <x:v>800</x:v>
      </x:c>
      <x:c r="G6" s="18" t="n">
        <x:f>'Assumptions'!$B$25</x:f>
        <x:v>800</x:v>
      </x:c>
      <x:c r="H6" s="18" t="n">
        <x:f>'Assumptions'!$B$25</x:f>
        <x:v>800</x:v>
      </x:c>
      <x:c r="I6" s="18" t="n">
        <x:f>'Assumptions'!$B$25</x:f>
        <x:v>800</x:v>
      </x:c>
      <x:c r="J6" s="18" t="n">
        <x:f>'Assumptions'!$B$25</x:f>
        <x:v>800</x:v>
      </x:c>
      <x:c r="K6" s="18" t="n">
        <x:f>'Assumptions'!$B$25</x:f>
        <x:v>800</x:v>
      </x:c>
      <x:c r="L6" s="18" t="n">
        <x:f>'Assumptions'!$B$25</x:f>
        <x:v>800</x:v>
      </x:c>
      <x:c r="M6" s="18" t="n">
        <x:f>'Assumptions'!$B$25</x:f>
        <x:v>800</x:v>
      </x:c>
      <x:c r="N6" s="18" t="n">
        <x:f>'Assumptions'!$B$25</x:f>
        <x:v>800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Organic signups</x:v>
      </x:c>
      <x:c r="B7" s="2" t="str">
        <x:v>people</x:v>
      </x:c>
      <x:c r="C7" s="18" t="n">
        <x:f>'Assumptions'!$B$26</x:f>
        <x:v>120</x:v>
      </x:c>
      <x:c r="D7" s="18" t="n">
        <x:f>C7*(1+'Assumptions'!$B$27)</x:f>
        <x:v>129.60000000000002</x:v>
      </x:c>
      <x:c r="E7" s="18" t="n">
        <x:f>D7*(1+'Assumptions'!$B$27)</x:f>
        <x:v>139.96800000000005</x:v>
      </x:c>
      <x:c r="F7" s="18" t="n">
        <x:f>E7*(1+'Assumptions'!$B$27)</x:f>
        <x:v>151.16544000000005</x:v>
      </x:c>
      <x:c r="G7" s="18" t="n">
        <x:f>F7*(1+'Assumptions'!$B$27)</x:f>
        <x:v>163.25867520000006</x:v>
      </x:c>
      <x:c r="H7" s="18" t="n">
        <x:f>G7*(1+'Assumptions'!$B$27)</x:f>
        <x:v>176.31936921600007</x:v>
      </x:c>
      <x:c r="I7" s="18" t="n">
        <x:f>H7*(1+'Assumptions'!$B$27)</x:f>
        <x:v>190.42491875328008</x:v>
      </x:c>
      <x:c r="J7" s="18" t="n">
        <x:f>I7*(1+'Assumptions'!$B$27)</x:f>
        <x:v>205.6589122535425</x:v>
      </x:c>
      <x:c r="K7" s="18" t="n">
        <x:f>J7*(1+'Assumptions'!$B$27)</x:f>
        <x:v>222.11162523382592</x:v>
      </x:c>
      <x:c r="L7" s="18" t="n">
        <x:f>K7*(1+'Assumptions'!$B$27)</x:f>
        <x:v>239.88055525253202</x:v>
      </x:c>
      <x:c r="M7" s="18" t="n">
        <x:f>L7*(1+'Assumptions'!$B$27)</x:f>
        <x:v>259.0709996727346</x:v>
      </x:c>
      <x:c r="N7" s="18" t="n">
        <x:f>M7*(1+'Assumptions'!$B$27)</x:f>
        <x:v>279.7966796465534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Referral signups</x:v>
      </x:c>
      <x:c r="B8" s="2" t="str">
        <x:v>people</x:v>
      </x:c>
      <x:c r="C8" s="18" t="n">
        <x:f>C8*'Assumptions'!$B$28</x:f>
        <x:v>0</x:v>
      </x:c>
      <x:c r="D8" s="18" t="n">
        <x:f>D8*'Assumptions'!$B$28</x:f>
        <x:v>0</x:v>
      </x:c>
      <x:c r="E8" s="18" t="n">
        <x:f>E8*'Assumptions'!$B$28</x:f>
        <x:v>0</x:v>
      </x:c>
      <x:c r="F8" s="18" t="n">
        <x:f>F8*'Assumptions'!$B$28</x:f>
        <x:v>0</x:v>
      </x:c>
      <x:c r="G8" s="18" t="n">
        <x:f>G8*'Assumptions'!$B$28</x:f>
        <x:v>0</x:v>
      </x:c>
      <x:c r="H8" s="18" t="n">
        <x:f>H8*'Assumptions'!$B$28</x:f>
        <x:v>0</x:v>
      </x:c>
      <x:c r="I8" s="18" t="n">
        <x:f>I8*'Assumptions'!$B$28</x:f>
        <x:v>0</x:v>
      </x:c>
      <x:c r="J8" s="18" t="n">
        <x:f>J8*'Assumptions'!$B$28</x:f>
        <x:v>0</x:v>
      </x:c>
      <x:c r="K8" s="18" t="n">
        <x:f>K8*'Assumptions'!$B$28</x:f>
        <x:v>0</x:v>
      </x:c>
      <x:c r="L8" s="18" t="n">
        <x:f>L8*'Assumptions'!$B$28</x:f>
        <x:v>0</x:v>
      </x:c>
      <x:c r="M8" s="18" t="n">
        <x:f>M8*'Assumptions'!$B$28</x:f>
        <x:v>0</x:v>
      </x:c>
      <x:c r="N8" s="18" t="n">
        <x:f>N8*'Assumptions'!$B$28</x:f>
        <x:v>0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Total new signups</x:v>
      </x:c>
      <x:c r="B9" s="2" t="str">
        <x:v>people</x:v>
      </x:c>
      <x:c r="C9" s="18" t="n">
        <x:f>SUM(C6:C8)</x:f>
        <x:v>920</x:v>
      </x:c>
      <x:c r="D9" s="18" t="n">
        <x:f>SUM(D6:D8)</x:f>
        <x:v>929.6</x:v>
      </x:c>
      <x:c r="E9" s="18" t="n">
        <x:f>SUM(E6:E8)</x:f>
        <x:v>939.9680000000001</x:v>
      </x:c>
      <x:c r="F9" s="18" t="n">
        <x:f>SUM(F6:F8)</x:f>
        <x:v>951.16544</x:v>
      </x:c>
      <x:c r="G9" s="18" t="n">
        <x:f>SUM(G6:G8)</x:f>
        <x:v>963.2586752000001</x:v>
      </x:c>
      <x:c r="H9" s="18" t="n">
        <x:f>SUM(H6:H8)</x:f>
        <x:v>976.319369216</x:v>
      </x:c>
      <x:c r="I9" s="18" t="n">
        <x:f>SUM(I6:I8)</x:f>
        <x:v>990.42491875328</x:v>
      </x:c>
      <x:c r="J9" s="18" t="n">
        <x:f>SUM(J6:J8)</x:f>
        <x:v>1005.6589122535424</x:v>
      </x:c>
      <x:c r="K9" s="18" t="n">
        <x:f>SUM(K6:K8)</x:f>
        <x:v>1022.1116252338259</x:v>
      </x:c>
      <x:c r="L9" s="18" t="n">
        <x:f>SUM(L6:L8)</x:f>
        <x:v>1039.880555252532</x:v>
      </x:c>
      <x:c r="M9" s="18" t="n">
        <x:f>SUM(M6:M8)</x:f>
        <x:v>1059.0709996727346</x:v>
      </x:c>
      <x:c r="N9" s="18" t="n">
        <x:f>SUM(N6:N8)</x:f>
        <x:v>1079.7966796465535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Trial starts</x:v>
      </x:c>
      <x:c r="B10" s="2" t="str">
        <x:v>people</x:v>
      </x:c>
      <x:c r="C10" s="18" t="n">
        <x:f>C9*'Assumptions'!$B$15</x:f>
        <x:v>644</x:v>
      </x:c>
      <x:c r="D10" s="18" t="n">
        <x:f>D9*'Assumptions'!$B$15</x:f>
        <x:v>650.72</x:v>
      </x:c>
      <x:c r="E10" s="18" t="n">
        <x:f>E9*'Assumptions'!$B$15</x:f>
        <x:v>657.9776</x:v>
      </x:c>
      <x:c r="F10" s="18" t="n">
        <x:f>F9*'Assumptions'!$B$15</x:f>
        <x:v>665.815808</x:v>
      </x:c>
      <x:c r="G10" s="18" t="n">
        <x:f>G9*'Assumptions'!$B$15</x:f>
        <x:v>674.28107264</x:v>
      </x:c>
      <x:c r="H10" s="18" t="n">
        <x:f>H9*'Assumptions'!$B$15</x:f>
        <x:v>683.4235584511999</x:v>
      </x:c>
      <x:c r="I10" s="18" t="n">
        <x:f>I9*'Assumptions'!$B$15</x:f>
        <x:v>693.297443127296</x:v>
      </x:c>
      <x:c r="J10" s="18" t="n">
        <x:f>J9*'Assumptions'!$B$15</x:f>
        <x:v>703.9612385774797</x:v>
      </x:c>
      <x:c r="K10" s="18" t="n">
        <x:f>K9*'Assumptions'!$B$15</x:f>
        <x:v>715.478137663678</x:v>
      </x:c>
      <x:c r="L10" s="18" t="n">
        <x:f>L9*'Assumptions'!$B$15</x:f>
        <x:v>727.9163886767724</x:v>
      </x:c>
      <x:c r="M10" s="18" t="n">
        <x:f>M9*'Assumptions'!$B$15</x:f>
        <x:v>741.3496997709142</x:v>
      </x:c>
      <x:c r="N10" s="18" t="n">
        <x:f>N9*'Assumptions'!$B$15</x:f>
        <x:v>755.8576757525874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Regular paid conversions</x:v>
      </x:c>
      <x:c r="B11" s="2" t="str">
        <x:v>people</x:v>
      </x:c>
      <x:c r="C11" s="18" t="n">
        <x:f>C10*'Assumptions'!$B$16*(1-C6/C9)</x:f>
        <x:v>23.520000000000007</x:v>
      </x:c>
      <x:c r="D11" s="18" t="n">
        <x:f>D10*'Assumptions'!$B$16</x:f>
        <x:v>182.2016</x:v>
      </x:c>
      <x:c r="E11" s="18" t="n">
        <x:f>E10*'Assumptions'!$B$16</x:f>
        <x:v>184.23372800000004</x:v>
      </x:c>
      <x:c r="F11" s="18" t="n">
        <x:f>F10*'Assumptions'!$B$16</x:f>
        <x:v>186.42842624</x:v>
      </x:c>
      <x:c r="G11" s="18" t="n">
        <x:f>G10*'Assumptions'!$B$16</x:f>
        <x:v>188.79870033920002</x:v>
      </x:c>
      <x:c r="H11" s="18" t="n">
        <x:f>H10*'Assumptions'!$B$16</x:f>
        <x:v>191.358596366336</x:v>
      </x:c>
      <x:c r="I11" s="18" t="n">
        <x:f>I10*'Assumptions'!$B$16</x:f>
        <x:v>194.12328407564289</x:v>
      </x:c>
      <x:c r="J11" s="18" t="n">
        <x:f>J10*'Assumptions'!$B$16</x:f>
        <x:v>197.10914680169432</x:v>
      </x:c>
      <x:c r="K11" s="18" t="n">
        <x:f>K10*'Assumptions'!$B$16</x:f>
        <x:v>200.33387854582986</x:v>
      </x:c>
      <x:c r="L11" s="18" t="n">
        <x:f>L10*'Assumptions'!$B$16</x:f>
        <x:v>203.81658882949628</x:v>
      </x:c>
      <x:c r="M11" s="18" t="n">
        <x:f>M10*'Assumptions'!$B$16</x:f>
        <x:v>207.577915935856</x:v>
      </x:c>
      <x:c r="N11" s="18" t="n">
        <x:f>N10*'Assumptions'!$B$16</x:f>
        <x:v>211.6401492107245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Preorder paid conversions</x:v>
      </x:c>
      <x:c r="B12" s="2" t="str">
        <x:v>people</x:v>
      </x:c>
      <x:c r="C12" s="18" t="n">
        <x:f>C6*'Assumptions'!$B$17</x:f>
        <x:v>280</x:v>
      </x:c>
      <x:c r="D12" s="18" t="n">
        <x:f>D6*'Assumptions'!$B$17</x:f>
        <x:v>280</x:v>
      </x:c>
      <x:c r="E12" s="18" t="n">
        <x:f>E6*'Assumptions'!$B$17</x:f>
        <x:v>280</x:v>
      </x:c>
      <x:c r="F12" s="18" t="n">
        <x:f>F6*'Assumptions'!$B$17</x:f>
        <x:v>280</x:v>
      </x:c>
      <x:c r="G12" s="18" t="n">
        <x:f>G6*'Assumptions'!$B$17</x:f>
        <x:v>280</x:v>
      </x:c>
      <x:c r="H12" s="18" t="n">
        <x:f>H6*'Assumptions'!$B$17</x:f>
        <x:v>280</x:v>
      </x:c>
      <x:c r="I12" s="18" t="n">
        <x:f>I6*'Assumptions'!$B$17</x:f>
        <x:v>280</x:v>
      </x:c>
      <x:c r="J12" s="18" t="n">
        <x:f>J6*'Assumptions'!$B$17</x:f>
        <x:v>280</x:v>
      </x:c>
      <x:c r="K12" s="18" t="n">
        <x:f>K6*'Assumptions'!$B$17</x:f>
        <x:v>280</x:v>
      </x:c>
      <x:c r="L12" s="18" t="n">
        <x:f>L6*'Assumptions'!$B$17</x:f>
        <x:v>280</x:v>
      </x:c>
      <x:c r="M12" s="18" t="n">
        <x:f>M6*'Assumptions'!$B$17</x:f>
        <x:v>280</x:v>
      </x:c>
      <x:c r="N12" s="18" t="n">
        <x:f>N6*'Assumptions'!$B$17</x:f>
        <x:v>280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Total new paid customers</x:v>
      </x:c>
      <x:c r="B13" s="2" t="str">
        <x:v>people</x:v>
      </x:c>
      <x:c r="C13" s="18" t="n">
        <x:f>SUM(C11:C12)</x:f>
        <x:v>303.52</x:v>
      </x:c>
      <x:c r="D13" s="18" t="n">
        <x:f>SUM(D11:D12)</x:f>
        <x:v>462.2016</x:v>
      </x:c>
      <x:c r="E13" s="18" t="n">
        <x:f>SUM(E11:E12)</x:f>
        <x:v>464.23372800000004</x:v>
      </x:c>
      <x:c r="F13" s="18" t="n">
        <x:f>SUM(F11:F12)</x:f>
        <x:v>466.42842624</x:v>
      </x:c>
      <x:c r="G13" s="18" t="n">
        <x:f>SUM(G11:G12)</x:f>
        <x:v>468.7987003392</x:v>
      </x:c>
      <x:c r="H13" s="18" t="n">
        <x:f>SUM(H11:H12)</x:f>
        <x:v>471.358596366336</x:v>
      </x:c>
      <x:c r="I13" s="18" t="n">
        <x:f>SUM(I11:I12)</x:f>
        <x:v>474.1232840756429</x:v>
      </x:c>
      <x:c r="J13" s="18" t="n">
        <x:f>SUM(J11:J12)</x:f>
        <x:v>477.10914680169435</x:v>
      </x:c>
      <x:c r="K13" s="18" t="n">
        <x:f>SUM(K11:K12)</x:f>
        <x:v>480.33387854582986</x:v>
      </x:c>
      <x:c r="L13" s="18" t="n">
        <x:f>SUM(L11:L12)</x:f>
        <x:v>483.81658882949625</x:v>
      </x:c>
      <x:c r="M13" s="18" t="n">
        <x:f>SUM(M11:M12)</x:f>
        <x:v>487.577915935856</x:v>
      </x:c>
      <x:c r="N13" s="18" t="n">
        <x:f>SUM(N11:N12)</x:f>
        <x:v>491.64014921072453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6" t="str">
        <x:v>Active paid customers</x:v>
      </x:c>
      <x:c r="B15" s="36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Essential ending customers</x:v>
      </x:c>
      <x:c r="B16" s="2" t="str">
        <x:v>people</x:v>
      </x:c>
      <x:c r="C16" s="18" t="n">
        <x:f>C13*'Assumptions'!$B$19</x:f>
        <x:v>121.408</x:v>
      </x:c>
      <x:c r="D16" s="18" t="n">
        <x:f>C16*(1-'Assumptions'!$B$29)+D13*'Assumptions'!$B$19</x:f>
        <x:v>239.51424</x:v>
      </x:c>
      <x:c r="E16" s="18" t="n">
        <x:f>D16*(1-'Assumptions'!$B$29)+E13*'Assumptions'!$B$19</x:f>
        <x:v>293.47489920000004</x:v>
      </x:c>
      <x:c r="F16" s="18" t="n">
        <x:f>E16*(1-'Assumptions'!$B$29)+F13*'Assumptions'!$B$19</x:f>
        <x:v>318.635075136</x:v>
      </x:c>
      <x:c r="G16" s="18" t="n">
        <x:f>F16*(1-'Assumptions'!$B$29)+G13*'Assumptions'!$B$19</x:f>
        <x:v>330.90526394688004</x:v>
      </x:c>
      <x:c r="H16" s="18" t="n">
        <x:f>G16*(1-'Assumptions'!$B$29)+H13*'Assumptions'!$B$19</x:f>
        <x:v>337.4508073226304</x:v>
      </x:c>
      <x:c r="I16" s="18" t="n">
        <x:f>H16*(1-'Assumptions'!$B$29)+I13*'Assumptions'!$B$19</x:f>
        <x:v>341.50217692544084</x:v>
      </x:c>
      <x:c r="J16" s="18" t="n">
        <x:f>I16*(1-'Assumptions'!$B$29)+J13*'Assumptions'!$B$19</x:f>
        <x:v>344.51963833712614</x:v>
      </x:c>
      <x:c r="K16" s="18" t="n">
        <x:f>J16*(1-'Assumptions'!$B$29)+K13*'Assumptions'!$B$19</x:f>
        <x:v>347.1673886700387</x:v>
      </x:c>
      <x:c r="L16" s="18" t="n">
        <x:f>K16*(1-'Assumptions'!$B$29)+L13*'Assumptions'!$B$19</x:f>
        <x:v>349.7519604333159</x:v>
      </x:c>
      <x:c r="M16" s="18" t="n">
        <x:f>L16*(1-'Assumptions'!$B$29)+M13*'Assumptions'!$B$19</x:f>
        <x:v>352.41954856933455</x:v>
      </x:c>
      <x:c r="N16" s="18" t="n">
        <x:f>M16*(1-'Assumptions'!$B$29)+N13*'Assumptions'!$B$19</x:f>
        <x:v>355.24485654049033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Edu ending customers</x:v>
      </x:c>
      <x:c r="B17" s="2" t="str">
        <x:v>people</x:v>
      </x:c>
      <x:c r="C17" s="18" t="n">
        <x:f>C13*'Assumptions'!$B$20</x:f>
        <x:v>45.528</x:v>
      </x:c>
      <x:c r="D17" s="18" t="n">
        <x:f>C17*(1-'Assumptions'!$B$30)+D13*'Assumptions'!$B$20</x:f>
        <x:v>112.12655999999998</x:v>
      </x:c>
      <x:c r="E17" s="18" t="n">
        <x:f>D17*(1-'Assumptions'!$B$30)+E13*'Assumptions'!$B$20</x:f>
        <x:v>175.03402559999998</x:v>
      </x:c>
      <x:c r="F17" s="18" t="n">
        <x:f>E17*(1-'Assumptions'!$B$30)+F13*'Assumptions'!$B$20</x:f>
        <x:v>234.49624799999998</x:v>
      </x:c>
      <x:c r="G17" s="18" t="n">
        <x:f>F17*(1-'Assumptions'!$B$30)+G13*'Assumptions'!$B$20</x:f>
        <x:v>290.74627817088</x:v>
      </x:c>
      <x:c r="H17" s="18" t="n">
        <x:f>G17*(1-'Assumptions'!$B$30)+H13*'Assumptions'!$B$20</x:f>
        <x:v>344.0052909355776</x:v>
      </x:c>
      <x:c r="I17" s="18" t="n">
        <x:f>H17*(1-'Assumptions'!$B$30)+I13*'Assumptions'!$B$20</x:f>
        <x:v>394.48346609078936</x:v>
      </x:c>
      <x:c r="J17" s="18" t="n">
        <x:f>I17*(1-'Assumptions'!$B$30)+J13*'Assumptions'!$B$20</x:f>
        <x:v>442.3808301455961</x:v>
      </x:c>
      <x:c r="K17" s="18" t="n">
        <x:f>J17*(1-'Assumptions'!$B$30)+K13*'Assumptions'!$B$20</x:f>
        <x:v>487.8880621187348</x:v>
      </x:c>
      <x:c r="L17" s="18" t="n">
        <x:f>K17*(1-'Assumptions'!$B$30)+L13*'Assumptions'!$B$20</x:f>
        <x:v>531.1872667160351</x:v>
      </x:c>
      <x:c r="M17" s="18" t="n">
        <x:f>L17*(1-'Assumptions'!$B$30)+M13*'Assumptions'!$B$20</x:f>
        <x:v>572.4527181034514</x:v>
      </x:c>
      <x:c r="N17" s="18" t="n">
        <x:f>M17*(1-'Assumptions'!$B$30)+N13*'Assumptions'!$B$20</x:f>
        <x:v>611.8515773988529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Pro ending customers</x:v>
      </x:c>
      <x:c r="B18" s="2" t="str">
        <x:v>people</x:v>
      </x:c>
      <x:c r="C18" s="18" t="n">
        <x:f>C13*'Assumptions'!$B$21</x:f>
        <x:v>0</x:v>
      </x:c>
      <x:c r="D18" s="18" t="n">
        <x:f>C18*(1-'Assumptions'!$B$31)+D13*'Assumptions'!$B$21</x:f>
        <x:v>0</x:v>
      </x:c>
      <x:c r="E18" s="18" t="n">
        <x:f>D18*(1-'Assumptions'!$B$31)+E13*'Assumptions'!$B$21</x:f>
        <x:v>0</x:v>
      </x:c>
      <x:c r="F18" s="18" t="n">
        <x:f>E18*(1-'Assumptions'!$B$31)+F13*'Assumptions'!$B$21</x:f>
        <x:v>0</x:v>
      </x:c>
      <x:c r="G18" s="18" t="n">
        <x:f>F18*(1-'Assumptions'!$B$31)+G13*'Assumptions'!$B$21</x:f>
        <x:v>0</x:v>
      </x:c>
      <x:c r="H18" s="18" t="n">
        <x:f>G18*(1-'Assumptions'!$B$31)+H13*'Assumptions'!$B$21</x:f>
        <x:v>0</x:v>
      </x:c>
      <x:c r="I18" s="18" t="n">
        <x:f>H18*(1-'Assumptions'!$B$31)+I13*'Assumptions'!$B$21</x:f>
        <x:v>0</x:v>
      </x:c>
      <x:c r="J18" s="18" t="n">
        <x:f>I18*(1-'Assumptions'!$B$31)+J13*'Assumptions'!$B$21</x:f>
        <x:v>0</x:v>
      </x:c>
      <x:c r="K18" s="18" t="n">
        <x:f>J18*(1-'Assumptions'!$B$31)+K13*'Assumptions'!$B$21</x:f>
        <x:v>0</x:v>
      </x:c>
      <x:c r="L18" s="18" t="n">
        <x:f>K18*(1-'Assumptions'!$B$31)+L13*'Assumptions'!$B$21</x:f>
        <x:v>0</x:v>
      </x:c>
      <x:c r="M18" s="18" t="n">
        <x:f>L18*(1-'Assumptions'!$B$31)+M13*'Assumptions'!$B$21</x:f>
        <x:v>0</x:v>
      </x:c>
      <x:c r="N18" s="18" t="n">
        <x:f>M18*(1-'Assumptions'!$B$31)+N13*'Assumptions'!$B$21</x:f>
        <x:v>0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Total paid customers</x:v>
      </x:c>
      <x:c r="B19" s="2" t="str">
        <x:v>people</x:v>
      </x:c>
      <x:c r="C19" s="18" t="n">
        <x:f>SUM(C16:C18)</x:f>
        <x:v>166.936</x:v>
      </x:c>
      <x:c r="D19" s="18" t="n">
        <x:f>SUM(D16:D18)</x:f>
        <x:v>351.6408</x:v>
      </x:c>
      <x:c r="E19" s="18" t="n">
        <x:f>SUM(E16:E18)</x:f>
        <x:v>468.50892480000005</x:v>
      </x:c>
      <x:c r="F19" s="18" t="n">
        <x:f>SUM(F16:F18)</x:f>
        <x:v>553.131323136</x:v>
      </x:c>
      <x:c r="G19" s="18" t="n">
        <x:f>SUM(G16:G18)</x:f>
        <x:v>621.6515421177601</x:v>
      </x:c>
      <x:c r="H19" s="18" t="n">
        <x:f>SUM(H16:H18)</x:f>
        <x:v>681.4560982582079</x:v>
      </x:c>
      <x:c r="I19" s="18" t="n">
        <x:f>SUM(I16:I18)</x:f>
        <x:v>735.9856430162301</x:v>
      </x:c>
      <x:c r="J19" s="18" t="n">
        <x:f>SUM(J16:J18)</x:f>
        <x:v>786.9004684827223</x:v>
      </x:c>
      <x:c r="K19" s="18" t="n">
        <x:f>SUM(K16:K18)</x:f>
        <x:v>835.0554507887734</x:v>
      </x:c>
      <x:c r="L19" s="18" t="n">
        <x:f>SUM(L16:L18)</x:f>
        <x:v>880.9392271493509</x:v>
      </x:c>
      <x:c r="M19" s="18" t="n">
        <x:f>SUM(M16:M18)</x:f>
        <x:v>924.8722666727859</x:v>
      </x:c>
      <x:c r="N19" s="18" t="n">
        <x:f>SUM(N16:N18)</x:f>
        <x:v>967.0964339393432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Free / trial active users</x:v>
      </x:c>
      <x:c r="B20" s="2" t="str">
        <x:v>people</x:v>
      </x:c>
      <x:c r="C20" s="18" t="n">
        <x:f>C9*'Assumptions'!$B$29</x:f>
        <x:v>506.00000000000006</x:v>
      </x:c>
      <x:c r="D20" s="18" t="n">
        <x:f>D9*'Assumptions'!$B$29</x:f>
        <x:v>511.28000000000003</x:v>
      </x:c>
      <x:c r="E20" s="18" t="n">
        <x:f>E9*'Assumptions'!$B$29</x:f>
        <x:v>516.9824000000001</x:v>
      </x:c>
      <x:c r="F20" s="18" t="n">
        <x:f>F9*'Assumptions'!$B$29</x:f>
        <x:v>523.140992</x:v>
      </x:c>
      <x:c r="G20" s="18" t="n">
        <x:f>G9*'Assumptions'!$B$29</x:f>
        <x:v>529.7922713600001</x:v>
      </x:c>
      <x:c r="H20" s="18" t="n">
        <x:f>H9*'Assumptions'!$B$29</x:f>
        <x:v>536.9756530688</x:v>
      </x:c>
      <x:c r="I20" s="18" t="n">
        <x:f>I9*'Assumptions'!$B$29</x:f>
        <x:v>544.7337053143041</x:v>
      </x:c>
      <x:c r="J20" s="18" t="n">
        <x:f>J9*'Assumptions'!$B$29</x:f>
        <x:v>553.1124017394484</x:v>
      </x:c>
      <x:c r="K20" s="18" t="n">
        <x:f>K9*'Assumptions'!$B$29</x:f>
        <x:v>562.1613938786043</x:v>
      </x:c>
      <x:c r="L20" s="18" t="n">
        <x:f>L9*'Assumptions'!$B$29</x:f>
        <x:v>571.9343053888927</x:v>
      </x:c>
      <x:c r="M20" s="18" t="n">
        <x:f>M9*'Assumptions'!$B$29</x:f>
        <x:v>582.4890498200041</x:v>
      </x:c>
      <x:c r="N20" s="18" t="n">
        <x:f>N9*'Assumptions'!$B$29</x:f>
        <x:v>593.8881738056044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6" t="str">
        <x:v>Revenue and costs</x:v>
      </x:c>
      <x:c r="B22" s="36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 t="str">
        <x:v>Weighted ARPU</x:v>
      </x:c>
      <x:c r="B23" s="2" t="str">
        <x:v>KRW / paid user</x:v>
      </x:c>
      <x:c r="C23" s="20" t="n">
        <x:f>'Assumptions'!$B$10*'Assumptions'!$B$19+'Assumptions'!$B$11*'Assumptions'!$B$20+'Assumptions'!$B$12*'Assumptions'!$B$21</x:f>
        <x:v>10695</x:v>
      </x:c>
      <x:c r="D23" s="20" t="n">
        <x:f>C23</x:f>
        <x:v>10695</x:v>
      </x:c>
      <x:c r="E23" s="20" t="n">
        <x:f>C23</x:f>
        <x:v>10695</x:v>
      </x:c>
      <x:c r="F23" s="20" t="n">
        <x:f>C23</x:f>
        <x:v>10695</x:v>
      </x:c>
      <x:c r="G23" s="20" t="n">
        <x:f>C23</x:f>
        <x:v>10695</x:v>
      </x:c>
      <x:c r="H23" s="20" t="n">
        <x:f>C23</x:f>
        <x:v>10695</x:v>
      </x:c>
      <x:c r="I23" s="20" t="n">
        <x:f>C23</x:f>
        <x:v>10695</x:v>
      </x:c>
      <x:c r="J23" s="20" t="n">
        <x:f>C23</x:f>
        <x:v>10695</x:v>
      </x:c>
      <x:c r="K23" s="20" t="n">
        <x:f>C23</x:f>
        <x:v>10695</x:v>
      </x:c>
      <x:c r="L23" s="20" t="n">
        <x:f>C23</x:f>
        <x:v>10695</x:v>
      </x:c>
      <x:c r="M23" s="20" t="n">
        <x:f>C23</x:f>
        <x:v>10695</x:v>
      </x:c>
      <x:c r="N23" s="20" t="n">
        <x:f>C23</x:f>
        <x:v>10695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 t="str">
        <x:v>Gross subscription revenue</x:v>
      </x:c>
      <x:c r="B24" s="2" t="str">
        <x:v>KRW</x:v>
      </x:c>
      <x:c r="C24" s="20" t="n">
        <x:f>C16*'Assumptions'!$B$10+C17*'Assumptions'!$B$11+C18*'Assumptions'!$B$12</x:f>
        <x:v>3246146.4000000004</x:v>
      </x:c>
      <x:c r="D24" s="20" t="n">
        <x:f>D16*'Assumptions'!$B$10+D17*'Assumptions'!$B$11+D18*'Assumptions'!$B$12</x:f>
        <x:v>6691794.4799999995</x:v>
      </x:c>
      <x:c r="E24" s="20" t="n">
        <x:f>E16*'Assumptions'!$B$10+E17*'Assumptions'!$B$11+E18*'Assumptions'!$B$12</x:f>
        <x:v>8685039.22272</x:v>
      </x:c>
      <x:c r="F24" s="20" t="n">
        <x:f>F16*'Assumptions'!$B$10+F17*'Assumptions'!$B$11+F18*'Assumptions'!$B$12</x:f>
        <x:v>10003109.7446784</x:v>
      </x:c>
      <x:c r="G24" s="20" t="n">
        <x:f>G16*'Assumptions'!$B$10+G17*'Assumptions'!$B$11+G18*'Assumptions'!$B$12</x:f>
        <x:v>10997452.268841024</x:v>
      </x:c>
      <x:c r="H24" s="20" t="n">
        <x:f>H16*'Assumptions'!$B$10+H17*'Assumptions'!$B$11+H18*'Assumptions'!$B$12</x:f>
        <x:v>11827840.933434557</x:v>
      </x:c>
      <x:c r="I24" s="20" t="n">
        <x:f>I16*'Assumptions'!$B$10+I17*'Assumptions'!$B$11+I18*'Assumptions'!$B$12</x:f>
        <x:v>12567734.387238339</x:v>
      </x:c>
      <x:c r="J24" s="20" t="n">
        <x:f>J16*'Assumptions'!$B$10+J17*'Assumptions'!$B$11+J18*'Assumptions'!$B$12</x:f>
        <x:v>13251692.788461253</x:v>
      </x:c>
      <x:c r="K24" s="20" t="n">
        <x:f>K16*'Assumptions'!$B$10+K17*'Assumptions'!$B$11+K18*'Assumptions'!$B$12</x:f>
        <x:v>13896721.813205525</x:v>
      </x:c>
      <x:c r="L24" s="20" t="n">
        <x:f>L16*'Assumptions'!$B$10+L17*'Assumptions'!$B$11+L18*'Assumptions'!$B$12</x:f>
        <x:v>14511883.67412647</x:v>
      </x:c>
      <x:c r="M24" s="20" t="n">
        <x:f>M16*'Assumptions'!$B$10+M17*'Assumptions'!$B$11+M18*'Assumptions'!$B$12</x:f>
        <x:v>15102628.177202951</x:v>
      </x:c>
      <x:c r="N24" s="20" t="n">
        <x:f>N16*'Assumptions'!$B$10+N17*'Assumptions'!$B$11+N18*'Assumptions'!$B$12</x:f>
        <x:v>15672747.70668194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Preorder free-month discount</x:v>
      </x:c>
      <x:c r="B25" s="2" t="str">
        <x:v>KRW</x:v>
      </x:c>
      <x:c r="C25" s="20" t="n">
        <x:f>C12*C23</x:f>
        <x:v>2994600</x:v>
      </x:c>
      <x:c r="D25" s="20" t="n">
        <x:f>0</x:f>
        <x:v>0</x:v>
      </x:c>
      <x:c r="E25" s="20" t="n">
        <x:f>0</x:f>
        <x:v>0</x:v>
      </x:c>
      <x:c r="F25" s="20" t="n">
        <x:f>0</x:f>
        <x:v>0</x:v>
      </x:c>
      <x:c r="G25" s="20" t="n">
        <x:f>0</x:f>
        <x:v>0</x:v>
      </x:c>
      <x:c r="H25" s="20" t="n">
        <x:f>0</x:f>
        <x:v>0</x:v>
      </x:c>
      <x:c r="I25" s="20" t="n">
        <x:f>0</x:f>
        <x:v>0</x:v>
      </x:c>
      <x:c r="J25" s="20" t="n">
        <x:f>0</x:f>
        <x:v>0</x:v>
      </x:c>
      <x:c r="K25" s="20" t="n">
        <x:f>0</x:f>
        <x:v>0</x:v>
      </x:c>
      <x:c r="L25" s="20" t="n">
        <x:f>0</x:f>
        <x:v>0</x:v>
      </x:c>
      <x:c r="M25" s="20" t="n">
        <x:f>0</x:f>
        <x:v>0</x:v>
      </x:c>
      <x:c r="N25" s="20" t="n">
        <x:f>0</x:f>
        <x:v>0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Referral free-month discount</x:v>
      </x:c>
      <x:c r="B26" s="2" t="str">
        <x:v>KRW</x:v>
      </x:c>
      <x:c r="C26" s="20" t="n">
        <x:f>C13/2*C23</x:f>
        <x:v>1623073.2</x:v>
      </x:c>
      <x:c r="D26" s="20" t="n">
        <x:f>D13/2*D23</x:f>
        <x:v>2471623.056</x:v>
      </x:c>
      <x:c r="E26" s="20" t="n">
        <x:f>E13/2*E23</x:f>
        <x:v>2482489.8604800003</x:v>
      </x:c>
      <x:c r="F26" s="20" t="n">
        <x:f>F13/2*F23</x:f>
        <x:v>2494226.0093184</x:v>
      </x:c>
      <x:c r="G26" s="20" t="n">
        <x:f>G13/2*G23</x:f>
        <x:v>2506901.0500638722</x:v>
      </x:c>
      <x:c r="H26" s="20" t="n">
        <x:f>H13/2*H23</x:f>
        <x:v>2520590.0940689817</x:v>
      </x:c>
      <x:c r="I26" s="20" t="n">
        <x:f>I13/2*I23</x:f>
        <x:v>2535374.2615945004</x:v>
      </x:c>
      <x:c r="J26" s="20" t="n">
        <x:f>J13/2*J23</x:f>
        <x:v>2551341.1625220603</x:v>
      </x:c>
      <x:c r="K26" s="20" t="n">
        <x:f>K13/2*K23</x:f>
        <x:v>2568585.415523825</x:v>
      </x:c>
      <x:c r="L26" s="20" t="n">
        <x:f>L13/2*L23</x:f>
        <x:v>2587209.208765731</x:v>
      </x:c>
      <x:c r="M26" s="20" t="n">
        <x:f>M13/2*M23</x:f>
        <x:v>2607322.90546699</x:v>
      </x:c>
      <x:c r="N26" s="20" t="n">
        <x:f>N13/2*N23</x:f>
        <x:v>2629045.6979043493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Net subscription revenue</x:v>
      </x:c>
      <x:c r="B27" s="2" t="str">
        <x:v>KRW</x:v>
      </x:c>
      <x:c r="C27" s="20" t="n">
        <x:f>IF(C24-C25-C26&lt;0,0,C24-C25-C26)</x:f>
        <x:v>0</x:v>
      </x:c>
      <x:c r="D27" s="20" t="n">
        <x:f>IF(D24-D25-D26&lt;0,0,D24-D25-D26)</x:f>
        <x:v>4220171.424</x:v>
      </x:c>
      <x:c r="E27" s="20" t="n">
        <x:f>IF(E24-E25-E26&lt;0,0,E24-E25-E26)</x:f>
        <x:v>6202549.362240001</x:v>
      </x:c>
      <x:c r="F27" s="20" t="n">
        <x:f>IF(F24-F25-F26&lt;0,0,F24-F25-F26)</x:f>
        <x:v>7508883.73536</x:v>
      </x:c>
      <x:c r="G27" s="20" t="n">
        <x:f>IF(G24-G25-G26&lt;0,0,G24-G25-G26)</x:f>
        <x:v>8490551.218777152</x:v>
      </x:c>
      <x:c r="H27" s="20" t="n">
        <x:f>IF(H24-H25-H26&lt;0,0,H24-H25-H26)</x:f>
        <x:v>9307250.839365575</x:v>
      </x:c>
      <x:c r="I27" s="20" t="n">
        <x:f>IF(I24-I25-I26&lt;0,0,I24-I25-I26)</x:f>
        <x:v>10032360.125643838</x:v>
      </x:c>
      <x:c r="J27" s="20" t="n">
        <x:f>IF(J24-J25-J26&lt;0,0,J24-J25-J26)</x:f>
        <x:v>10700351.625939192</x:v>
      </x:c>
      <x:c r="K27" s="20" t="n">
        <x:f>IF(K24-K25-K26&lt;0,0,K24-K25-K26)</x:f>
        <x:v>11328136.3976817</x:v>
      </x:c>
      <x:c r="L27" s="20" t="n">
        <x:f>IF(L24-L25-L26&lt;0,0,L24-L25-L26)</x:f>
        <x:v>11924674.465360738</x:v>
      </x:c>
      <x:c r="M27" s="20" t="n">
        <x:f>IF(M24-M25-M26&lt;0,0,M24-M25-M26)</x:f>
        <x:v>12495305.27173596</x:v>
      </x:c>
      <x:c r="N27" s="20" t="n">
        <x:f>IF(N24-N25-N26&lt;0,0,N24-N25-N26)</x:f>
        <x:v>13043702.008777592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 t="str">
        <x:v>LLM lecture minutes</x:v>
      </x:c>
      <x:c r="B28" s="2" t="str">
        <x:v>minutes</x:v>
      </x:c>
      <x:c r="C28" s="18" t="n">
        <x:f>C19*'Assumptions'!$B$36+C20*'Assumptions'!$B$37</x:f>
        <x:v>50392.32000000001</x:v>
      </x:c>
      <x:c r="D28" s="18" t="n">
        <x:f>D19*'Assumptions'!$B$36+D20*'Assumptions'!$B$37</x:f>
        <x:v>72873.696</x:v>
      </x:c>
      <x:c r="E28" s="18" t="n">
        <x:f>E19*'Assumptions'!$B$36+E20*'Assumptions'!$B$37</x:f>
        <x:v>87240.014976</x:v>
      </x:c>
      <x:c r="F28" s="18" t="n">
        <x:f>F19*'Assumptions'!$B$36+F20*'Assumptions'!$B$37</x:f>
        <x:v>97764.21829632</x:v>
      </x:c>
      <x:c r="G28" s="18" t="n">
        <x:f>G19*'Assumptions'!$B$36+G20*'Assumptions'!$B$37</x:f>
        <x:v>106385.72133573121</x:v>
      </x:c>
      <x:c r="H28" s="18" t="n">
        <x:f>H19*'Assumptions'!$B$36+H20*'Assumptions'!$B$37</x:f>
        <x:v>113993.27097511296</x:v>
      </x:c>
      <x:c r="I28" s="18" t="n">
        <x:f>I19*'Assumptions'!$B$36+I20*'Assumptions'!$B$37</x:f>
        <x:v>121002.29948080586</x:v>
      </x:c>
      <x:c r="J28" s="18" t="n">
        <x:f>J19*'Assumptions'!$B$36+J20*'Assumptions'!$B$37</x:f>
        <x:v>127614.80032229357</x:v>
      </x:c>
      <x:c r="K28" s="18" t="n">
        <x:f>K19*'Assumptions'!$B$36+K20*'Assumptions'!$B$37</x:f>
        <x:v>133936.33772736907</x:v>
      </x:c>
      <x:c r="L28" s="18" t="n">
        <x:f>L19*'Assumptions'!$B$36+L20*'Assumptions'!$B$37</x:f>
        <x:v>140028.76558125566</x:v>
      </x:c>
      <x:c r="M28" s="18" t="n">
        <x:f>M19*'Assumptions'!$B$36+M20*'Assumptions'!$B$37</x:f>
        <x:v>145934.01498993457</x:v>
      </x:c>
      <x:c r="N28" s="18" t="n">
        <x:f>N19*'Assumptions'!$B$36+N20*'Assumptions'!$B$37</x:f>
        <x:v>151684.86250105745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LLM API cost</x:v>
      </x:c>
      <x:c r="B29" s="2" t="str">
        <x:v>KRW</x:v>
      </x:c>
      <x:c r="C29" s="20" t="n">
        <x:f>C28*'Assumptions'!$B$46</x:f>
        <x:v>1763731.2000000002</x:v>
      </x:c>
      <x:c r="D29" s="20" t="n">
        <x:f>D28*'Assumptions'!$B$46</x:f>
        <x:v>2550579.36</x:v>
      </x:c>
      <x:c r="E29" s="20" t="n">
        <x:f>E28*'Assumptions'!$B$46</x:f>
        <x:v>3053400.52416</x:v>
      </x:c>
      <x:c r="F29" s="20" t="n">
        <x:f>F28*'Assumptions'!$B$46</x:f>
        <x:v>3421747.6403712</x:v>
      </x:c>
      <x:c r="G29" s="20" t="n">
        <x:f>G28*'Assumptions'!$B$46</x:f>
        <x:v>3723500.2467505923</x:v>
      </x:c>
      <x:c r="H29" s="20" t="n">
        <x:f>H28*'Assumptions'!$B$46</x:f>
        <x:v>3989764.4841289534</x:v>
      </x:c>
      <x:c r="I29" s="20" t="n">
        <x:f>I28*'Assumptions'!$B$46</x:f>
        <x:v>4235080.481828205</x:v>
      </x:c>
      <x:c r="J29" s="20" t="n">
        <x:f>J28*'Assumptions'!$B$46</x:f>
        <x:v>4466518.011280275</x:v>
      </x:c>
      <x:c r="K29" s="20" t="n">
        <x:f>K28*'Assumptions'!$B$46</x:f>
        <x:v>4687771.820457918</x:v>
      </x:c>
      <x:c r="L29" s="20" t="n">
        <x:f>L28*'Assumptions'!$B$46</x:f>
        <x:v>4901006.7953439485</x:v>
      </x:c>
      <x:c r="M29" s="20" t="n">
        <x:f>M28*'Assumptions'!$B$46</x:f>
        <x:v>5107690.52464771</x:v>
      </x:c>
      <x:c r="N29" s="20" t="n">
        <x:f>N28*'Assumptions'!$B$46</x:f>
        <x:v>5308970.187537011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Payment processing cost</x:v>
      </x:c>
      <x:c r="B30" s="2" t="str">
        <x:v>KRW</x:v>
      </x:c>
      <x:c r="C30" s="20" t="n">
        <x:f>C27*'Assumptions'!$B$47+C13*'Assumptions'!$B$48</x:f>
        <x:v>30352</x:v>
      </x:c>
      <x:c r="D30" s="20" t="n">
        <x:f>D27*'Assumptions'!$B$47+D13*'Assumptions'!$B$48</x:f>
        <x:v>193926.15984</x:v>
      </x:c>
      <x:c r="E30" s="20" t="n">
        <x:f>E27*'Assumptions'!$B$47+E13*'Assumptions'!$B$48</x:f>
        <x:v>263512.60047840007</x:v>
      </x:c>
      <x:c r="F30" s="20" t="n">
        <x:f>F27*'Assumptions'!$B$47+F13*'Assumptions'!$B$48</x:f>
        <x:v>309453.7733616</x:v>
      </x:c>
      <x:c r="G30" s="20" t="n">
        <x:f>G27*'Assumptions'!$B$47+G13*'Assumptions'!$B$48</x:f>
        <x:v>344049.16269112035</x:v>
      </x:c>
      <x:c r="H30" s="20" t="n">
        <x:f>H27*'Assumptions'!$B$47+H13*'Assumptions'!$B$48</x:f>
        <x:v>372889.6390144288</x:v>
      </x:c>
      <x:c r="I30" s="20" t="n">
        <x:f>I27*'Assumptions'!$B$47+I13*'Assumptions'!$B$48</x:f>
        <x:v>398544.9328050987</x:v>
      </x:c>
      <x:c r="J30" s="20" t="n">
        <x:f>J27*'Assumptions'!$B$47+J13*'Assumptions'!$B$48</x:f>
        <x:v>422223.22158804117</x:v>
      </x:c>
      <x:c r="K30" s="20" t="n">
        <x:f>K27*'Assumptions'!$B$47+K13*'Assumptions'!$B$48</x:f>
        <x:v>444518.1617734425</x:v>
      </x:c>
      <x:c r="L30" s="20" t="n">
        <x:f>L27*'Assumptions'!$B$47+L13*'Assumptions'!$B$48</x:f>
        <x:v>465745.2651705755</x:v>
      </x:c>
      <x:c r="M30" s="20" t="n">
        <x:f>M27*'Assumptions'!$B$47+M13*'Assumptions'!$B$48</x:f>
        <x:v>486093.47610434424</x:v>
      </x:c>
      <x:c r="N30" s="20" t="n">
        <x:f>N27*'Assumptions'!$B$47+N13*'Assumptions'!$B$48</x:f>
        <x:v>505693.58522828826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Variable support cost</x:v>
      </x:c>
      <x:c r="B31" s="2" t="str">
        <x:v>KRW</x:v>
      </x:c>
      <x:c r="C31" s="20" t="n">
        <x:f>(C19+C20)*'Assumptions'!$B$49</x:f>
        <x:v>269174.4</x:v>
      </x:c>
      <x:c r="D31" s="20" t="n">
        <x:f>(D19+D20)*'Assumptions'!$B$49</x:f>
        <x:v>345168.32000000007</x:v>
      </x:c>
      <x:c r="E31" s="20" t="n">
        <x:f>(E19+E20)*'Assumptions'!$B$49</x:f>
        <x:v>394196.52992000006</x:v>
      </x:c>
      <x:c r="F31" s="20" t="n">
        <x:f>(F19+F20)*'Assumptions'!$B$49</x:f>
        <x:v>430508.92605440004</x:v>
      </x:c>
      <x:c r="G31" s="20" t="n">
        <x:f>(G19+G20)*'Assumptions'!$B$49</x:f>
        <x:v>460577.52539110405</x:v>
      </x:c>
      <x:c r="H31" s="20" t="n">
        <x:f>(H19+H20)*'Assumptions'!$B$49</x:f>
        <x:v>487372.7005308032</x:v>
      </x:c>
      <x:c r="I31" s="20" t="n">
        <x:f>(I19+I20)*'Assumptions'!$B$49</x:f>
        <x:v>512287.73933221365</x:v>
      </x:c>
      <x:c r="J31" s="20" t="n">
        <x:f>(J19+J20)*'Assumptions'!$B$49</x:f>
        <x:v>536005.1480888682</x:v>
      </x:c>
      <x:c r="K31" s="20" t="n">
        <x:f>(K19+K20)*'Assumptions'!$B$49</x:f>
        <x:v>558886.737866951</x:v>
      </x:c>
      <x:c r="L31" s="20" t="n">
        <x:f>(L19+L20)*'Assumptions'!$B$49</x:f>
        <x:v>581149.4130152974</x:v>
      </x:c>
      <x:c r="M31" s="20" t="n">
        <x:f>(M19+M20)*'Assumptions'!$B$49</x:f>
        <x:v>602944.526597116</x:v>
      </x:c>
      <x:c r="N31" s="20" t="n">
        <x:f>(N19+N20)*'Assumptions'!$B$49</x:f>
        <x:v>624393.8430979791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 t="str">
        <x:v>Vercel fixed cost</x:v>
      </x:c>
      <x:c r="B32" s="2" t="str">
        <x:v>KRW</x:v>
      </x:c>
      <x:c r="C32" s="20" t="n">
        <x:f>'Assumptions'!$B$42</x:f>
        <x:v>250000</x:v>
      </x:c>
      <x:c r="D32" s="20" t="n">
        <x:f>'Assumptions'!$B$42</x:f>
        <x:v>250000</x:v>
      </x:c>
      <x:c r="E32" s="20" t="n">
        <x:f>'Assumptions'!$B$42</x:f>
        <x:v>250000</x:v>
      </x:c>
      <x:c r="F32" s="20" t="n">
        <x:f>'Assumptions'!$B$42</x:f>
        <x:v>250000</x:v>
      </x:c>
      <x:c r="G32" s="20" t="n">
        <x:f>'Assumptions'!$B$42</x:f>
        <x:v>250000</x:v>
      </x:c>
      <x:c r="H32" s="20" t="n">
        <x:f>'Assumptions'!$B$42</x:f>
        <x:v>250000</x:v>
      </x:c>
      <x:c r="I32" s="20" t="n">
        <x:f>'Assumptions'!$B$42</x:f>
        <x:v>250000</x:v>
      </x:c>
      <x:c r="J32" s="20" t="n">
        <x:f>'Assumptions'!$B$42</x:f>
        <x:v>250000</x:v>
      </x:c>
      <x:c r="K32" s="20" t="n">
        <x:f>'Assumptions'!$B$42</x:f>
        <x:v>250000</x:v>
      </x:c>
      <x:c r="L32" s="20" t="n">
        <x:f>'Assumptions'!$B$42</x:f>
        <x:v>250000</x:v>
      </x:c>
      <x:c r="M32" s="20" t="n">
        <x:f>'Assumptions'!$B$42</x:f>
        <x:v>250000</x:v>
      </x:c>
      <x:c r="N32" s="20" t="n">
        <x:f>'Assumptions'!$B$42</x:f>
        <x:v>250000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 t="str">
        <x:v>Supabase fixed cost</x:v>
      </x:c>
      <x:c r="B33" s="2" t="str">
        <x:v>KRW</x:v>
      </x:c>
      <x:c r="C33" s="20" t="n">
        <x:f>'Assumptions'!$B$43</x:f>
        <x:v>250000</x:v>
      </x:c>
      <x:c r="D33" s="20" t="n">
        <x:f>'Assumptions'!$B$43</x:f>
        <x:v>250000</x:v>
      </x:c>
      <x:c r="E33" s="20" t="n">
        <x:f>'Assumptions'!$B$43</x:f>
        <x:v>250000</x:v>
      </x:c>
      <x:c r="F33" s="20" t="n">
        <x:f>'Assumptions'!$B$43</x:f>
        <x:v>250000</x:v>
      </x:c>
      <x:c r="G33" s="20" t="n">
        <x:f>'Assumptions'!$B$43</x:f>
        <x:v>250000</x:v>
      </x:c>
      <x:c r="H33" s="20" t="n">
        <x:f>'Assumptions'!$B$43</x:f>
        <x:v>250000</x:v>
      </x:c>
      <x:c r="I33" s="20" t="n">
        <x:f>'Assumptions'!$B$43</x:f>
        <x:v>250000</x:v>
      </x:c>
      <x:c r="J33" s="20" t="n">
        <x:f>'Assumptions'!$B$43</x:f>
        <x:v>250000</x:v>
      </x:c>
      <x:c r="K33" s="20" t="n">
        <x:f>'Assumptions'!$B$43</x:f>
        <x:v>250000</x:v>
      </x:c>
      <x:c r="L33" s="20" t="n">
        <x:f>'Assumptions'!$B$43</x:f>
        <x:v>250000</x:v>
      </x:c>
      <x:c r="M33" s="20" t="n">
        <x:f>'Assumptions'!$B$43</x:f>
        <x:v>250000</x:v>
      </x:c>
      <x:c r="N33" s="20" t="n">
        <x:f>'Assumptions'!$B$43</x:f>
        <x:v>250000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 t="str">
        <x:v>Other fixed operating cost</x:v>
      </x:c>
      <x:c r="B34" s="2" t="str">
        <x:v>KRW</x:v>
      </x:c>
      <x:c r="C34" s="20" t="n">
        <x:f>'Assumptions'!$B$44</x:f>
        <x:v>200000</x:v>
      </x:c>
      <x:c r="D34" s="20" t="n">
        <x:f>'Assumptions'!$B$44</x:f>
        <x:v>200000</x:v>
      </x:c>
      <x:c r="E34" s="20" t="n">
        <x:f>'Assumptions'!$B$44</x:f>
        <x:v>200000</x:v>
      </x:c>
      <x:c r="F34" s="20" t="n">
        <x:f>'Assumptions'!$B$44</x:f>
        <x:v>200000</x:v>
      </x:c>
      <x:c r="G34" s="20" t="n">
        <x:f>'Assumptions'!$B$44</x:f>
        <x:v>200000</x:v>
      </x:c>
      <x:c r="H34" s="20" t="n">
        <x:f>'Assumptions'!$B$44</x:f>
        <x:v>200000</x:v>
      </x:c>
      <x:c r="I34" s="20" t="n">
        <x:f>'Assumptions'!$B$44</x:f>
        <x:v>200000</x:v>
      </x:c>
      <x:c r="J34" s="20" t="n">
        <x:f>'Assumptions'!$B$44</x:f>
        <x:v>200000</x:v>
      </x:c>
      <x:c r="K34" s="20" t="n">
        <x:f>'Assumptions'!$B$44</x:f>
        <x:v>200000</x:v>
      </x:c>
      <x:c r="L34" s="20" t="n">
        <x:f>'Assumptions'!$B$44</x:f>
        <x:v>200000</x:v>
      </x:c>
      <x:c r="M34" s="20" t="n">
        <x:f>'Assumptions'!$B$44</x:f>
        <x:v>200000</x:v>
      </x:c>
      <x:c r="N34" s="20" t="n">
        <x:f>'Assumptions'!$B$44</x:f>
        <x:v>200000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 t="str">
        <x:v>Marketing and support cost</x:v>
      </x:c>
      <x:c r="B35" s="2" t="str">
        <x:v>KRW</x:v>
      </x:c>
      <x:c r="C35" s="20" t="n">
        <x:f>'Assumptions'!$B$45</x:f>
        <x:v>1000000</x:v>
      </x:c>
      <x:c r="D35" s="20" t="n">
        <x:f>'Assumptions'!$B$45</x:f>
        <x:v>1000000</x:v>
      </x:c>
      <x:c r="E35" s="20" t="n">
        <x:f>'Assumptions'!$B$45</x:f>
        <x:v>1000000</x:v>
      </x:c>
      <x:c r="F35" s="20" t="n">
        <x:f>'Assumptions'!$B$45</x:f>
        <x:v>1000000</x:v>
      </x:c>
      <x:c r="G35" s="20" t="n">
        <x:f>'Assumptions'!$B$45</x:f>
        <x:v>1000000</x:v>
      </x:c>
      <x:c r="H35" s="20" t="n">
        <x:f>'Assumptions'!$B$45</x:f>
        <x:v>1000000</x:v>
      </x:c>
      <x:c r="I35" s="20" t="n">
        <x:f>'Assumptions'!$B$45</x:f>
        <x:v>1000000</x:v>
      </x:c>
      <x:c r="J35" s="20" t="n">
        <x:f>'Assumptions'!$B$45</x:f>
        <x:v>1000000</x:v>
      </x:c>
      <x:c r="K35" s="20" t="n">
        <x:f>'Assumptions'!$B$45</x:f>
        <x:v>1000000</x:v>
      </x:c>
      <x:c r="L35" s="20" t="n">
        <x:f>'Assumptions'!$B$45</x:f>
        <x:v>1000000</x:v>
      </x:c>
      <x:c r="M35" s="20" t="n">
        <x:f>'Assumptions'!$B$45</x:f>
        <x:v>1000000</x:v>
      </x:c>
      <x:c r="N35" s="20" t="n">
        <x:f>'Assumptions'!$B$45</x:f>
        <x:v>1000000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 t="str">
        <x:v>Total operating cost</x:v>
      </x:c>
      <x:c r="B36" s="2" t="str">
        <x:v>KRW</x:v>
      </x:c>
      <x:c r="C36" s="20" t="n">
        <x:f>SUM(C29:C35)</x:f>
        <x:v>3763257.6</x:v>
      </x:c>
      <x:c r="D36" s="20" t="n">
        <x:f>SUM(D29:D35)</x:f>
        <x:v>4789673.83984</x:v>
      </x:c>
      <x:c r="E36" s="20" t="n">
        <x:f>SUM(E29:E35)</x:f>
        <x:v>5411109.6545584</x:v>
      </x:c>
      <x:c r="F36" s="20" t="n">
        <x:f>SUM(F29:F35)</x:f>
        <x:v>5861710.3397872</x:v>
      </x:c>
      <x:c r="G36" s="20" t="n">
        <x:f>SUM(G29:G35)</x:f>
        <x:v>6228126.934832817</x:v>
      </x:c>
      <x:c r="H36" s="20" t="n">
        <x:f>SUM(H29:H35)</x:f>
        <x:v>6550026.823674185</x:v>
      </x:c>
      <x:c r="I36" s="20" t="n">
        <x:f>SUM(I29:I35)</x:f>
        <x:v>6845913.153965518</x:v>
      </x:c>
      <x:c r="J36" s="20" t="n">
        <x:f>SUM(J29:J35)</x:f>
        <x:v>7124746.380957184</x:v>
      </x:c>
      <x:c r="K36" s="20" t="n">
        <x:f>SUM(K29:K35)</x:f>
        <x:v>7391176.720098311</x:v>
      </x:c>
      <x:c r="L36" s="20" t="n">
        <x:f>SUM(L29:L35)</x:f>
        <x:v>7647901.473529821</x:v>
      </x:c>
      <x:c r="M36" s="20" t="n">
        <x:f>SUM(M29:M35)</x:f>
        <x:v>7896728.52734917</x:v>
      </x:c>
      <x:c r="N36" s="20" t="n">
        <x:f>SUM(N29:N35)</x:f>
        <x:v>8139057.6158632785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5" t="str">
        <x:v>Net profit before tax/payroll</x:v>
      </x:c>
      <x:c r="B37" s="25" t="str">
        <x:v>KRW</x:v>
      </x:c>
      <x:c r="C37" s="26" t="n">
        <x:f>C27-C36</x:f>
        <x:v>-3763257.6</x:v>
      </x:c>
      <x:c r="D37" s="26" t="n">
        <x:f>D27-D36</x:f>
        <x:v>-569502.4158399999</x:v>
      </x:c>
      <x:c r="E37" s="26" t="n">
        <x:f>E27-E36</x:f>
        <x:v>791439.7076816009</x:v>
      </x:c>
      <x:c r="F37" s="26" t="n">
        <x:f>F27-F36</x:f>
        <x:v>1647173.3955728002</x:v>
      </x:c>
      <x:c r="G37" s="26" t="n">
        <x:f>G27-G36</x:f>
        <x:v>2262424.283944335</x:v>
      </x:c>
      <x:c r="H37" s="26" t="n">
        <x:f>H27-H36</x:f>
        <x:v>2757224.0156913903</x:v>
      </x:c>
      <x:c r="I37" s="26" t="n">
        <x:f>I27-I36</x:f>
        <x:v>3186446.9716783203</x:v>
      </x:c>
      <x:c r="J37" s="26" t="n">
        <x:f>J27-J36</x:f>
        <x:v>3575605.244982008</x:v>
      </x:c>
      <x:c r="K37" s="26" t="n">
        <x:f>K27-K36</x:f>
        <x:v>3936959.677583389</x:v>
      </x:c>
      <x:c r="L37" s="26" t="n">
        <x:f>L27-L36</x:f>
        <x:v>4276772.991830917</x:v>
      </x:c>
      <x:c r="M37" s="26" t="n">
        <x:f>M27-M36</x:f>
        <x:v>4598576.74438679</x:v>
      </x:c>
      <x:c r="N37" s="26" t="n">
        <x:f>N27-N36</x:f>
        <x:v>4904644.392914314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5" t="str">
        <x:v>Net margin</x:v>
      </x:c>
      <x:c r="B38" s="25" t="str">
        <x:v>%</x:v>
      </x:c>
      <x:c r="C38" s="27" t="n">
        <x:f>IF(C27&lt;=0,0,C37/C27)</x:f>
        <x:v>0</x:v>
      </x:c>
      <x:c r="D38" s="27" t="n">
        <x:f>IF(D27&lt;=0,0,D37/D27)</x:f>
        <x:v>-0.134947697290507</x:v>
      </x:c>
      <x:c r="E38" s="27" t="n">
        <x:f>IF(E27&lt;=0,0,E37/E27)</x:f>
        <x:v>0.12759909860608976</x:v>
      </x:c>
      <x:c r="F38" s="27" t="n">
        <x:f>IF(F27&lt;=0,0,F37/F27)</x:f>
        <x:v>0.21936328402797267</x:v>
      </x:c>
      <x:c r="G38" s="27" t="n">
        <x:f>IF(G27&lt;=0,0,G37/G27)</x:f>
        <x:v>0.2664637696243919</x:v>
      </x:c>
      <x:c r="H38" s="27" t="n">
        <x:f>IF(H27&lt;=0,0,H37/H27)</x:f>
        <x:v>0.29624473040197286</x:v>
      </x:c>
      <x:c r="I38" s="27" t="n">
        <x:f>IF(I27&lt;=0,0,I37/I27)</x:f>
        <x:v>0.3176168849375138</x:v>
      </x:c>
      <x:c r="J38" s="27" t="n">
        <x:f>IF(J27&lt;=0,0,J37/J27)</x:f>
        <x:v>0.33415773331356946</x:v>
      </x:c>
      <x:c r="K38" s="27" t="n">
        <x:f>IF(K27&lt;=0,0,K37/K27)</x:f>
        <x:v>0.34753815979732433</x:v>
      </x:c>
      <x:c r="L38" s="27" t="n">
        <x:f>IF(L27&lt;=0,0,L37/L27)</x:f>
        <x:v>0.35864903517947216</x:v>
      </x:c>
      <x:c r="M38" s="27" t="n">
        <x:f>IF(M27&lt;=0,0,M37/M27)</x:f>
        <x:v>0.3680243615006866</x:v>
      </x:c>
      <x:c r="N38" s="27" t="n">
        <x:f>IF(N27&lt;=0,0,N37/N27)</x:f>
        <x:v>0.3760162866043548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5:N5"/>
    <x:mergeCell ref="A15:N15"/>
    <x:mergeCell ref="A22:N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54" hidden="0" customWidth="1"/>
    <x:col min="5" max="5" width="28" hidden="0" customWidth="1"/>
  </x:cols>
  <x:sheetData>
    <x:row r="1">
      <x:c r="A1" s="32" t="str">
        <x:v>Comparable offers and source notes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4" t="str">
        <x:v>Service / source</x:v>
      </x:c>
      <x:c r="B3" s="34" t="str">
        <x:v>Observed offer or condition</x:v>
      </x:c>
      <x:c r="C3" s="34" t="str">
        <x:v>Modeling implication</x:v>
      </x:c>
      <x:c r="D3" s="34" t="str">
        <x:v>Source URL</x:v>
      </x:c>
      <x:c r="E3" s="34" t="str">
        <x:v>Verification note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1" t="str">
        <x:v>Shift</x:v>
      </x:c>
      <x:c r="B4" s="11" t="str">
        <x:v>Founding members lock in 50% off at launch; waitlist CTA and email form</x:v>
      </x:c>
      <x:c r="C4" s="11" t="str">
        <x:v>Place offer immediately beside the waitlist CTA; state whether it is recurring or first-month only</x:v>
      </x:c>
      <x:c r="D4" s="11" t="str">
        <x:v>https://shift.satulabs.com/</x:v>
      </x:c>
      <x:c r="E4" s="11" t="str">
        <x:v>Public landing page; launch offer wording observed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1" t="str">
        <x:v>atbridge Notes</x:v>
      </x:c>
      <x:c r="B5" s="11" t="str">
        <x:v>Early-bird price held while subscribed; 14-day trial shown</x:v>
      </x:c>
      <x:c r="C5" s="11" t="str">
        <x:v>State price-lock duration and trial/card terms separately</x:v>
      </x:c>
      <x:c r="D5" s="11" t="str">
        <x:v>https://atbridge.ai/notes</x:v>
      </x:c>
      <x:c r="E5" s="11" t="str">
        <x:v>Public pricing page; exact local currency may vary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1" t="str">
        <x:v>Heptabase</x:v>
      </x:c>
      <x:c r="B6" s="11" t="str">
        <x:v>Historical early-bird pricing retained for eligible subscribers under stated conditions</x:v>
      </x:c>
      <x:c r="C6" s="11" t="str">
        <x:v>If using a founding price, define eligibility and what happens after cancellation</x:v>
      </x:c>
      <x:c r="D6" s="11" t="str">
        <x:v>https://support.heptabase.com/en/articles/10364311-what-s-early-bird-pricing-and-how-do-i-keep-it</x:v>
      </x:c>
      <x:c r="E6" s="11" t="str">
        <x:v>Official support document; historical campaign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1" t="str">
        <x:v>Readwise</x:v>
      </x:c>
      <x:c r="B7" s="11" t="str">
        <x:v>30-day trial; 50% student/academia discount with proof</x:v>
      </x:c>
      <x:c r="C7" s="11" t="str">
        <x:v>Separate ongoing student discount from temporary preorder incentive</x:v>
      </x:c>
      <x:c r="D7" s="11" t="str">
        <x:v>https://docs.readwise.io/faqs/subscription</x:v>
      </x:c>
      <x:c r="E7" s="11" t="str">
        <x:v>Official FAQ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1" t="str">
        <x:v>EBS eBook</x:v>
      </x:c>
      <x:c r="B8" s="11" t="str">
        <x:v>Historical first-month 990원 event</x:v>
      </x:c>
      <x:c r="C8" s="11" t="str">
        <x:v>A concrete first-month price can be clearer than an unexplained percentage</x:v>
      </x:c>
      <x:c r="D8" s="11" t="str">
        <x:v>https://about.ebs.co.kr/board/bbs?boardTypeId=1&amp;boardId=31&amp;cmd=view&amp;postId=30004730005</x:v>
      </x:c>
      <x:c r="E8" s="11" t="str">
        <x:v>Official event page; ended offer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1" t="str">
        <x:v>QANDA Premium</x:v>
      </x:c>
      <x:c r="B9" s="11" t="str">
        <x:v>Historical 6 months paid + 6 months free bundle</x:v>
      </x:c>
      <x:c r="C9" s="11" t="str">
        <x:v>Longer bonus periods can increase commitment but defer revenue</x:v>
      </x:c>
      <x:c r="D9" s="11" t="str">
        <x:v>https://qanda-lab.qanda.ai/</x:v>
      </x:c>
      <x:c r="E9" s="11" t="str">
        <x:v>Official product/company page; campaign terms may change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1" t="str">
        <x:v>FastCampus</x:v>
      </x:c>
      <x:c r="B10" s="11" t="str">
        <x:v>Historical first-100 coupon for selected subscription terms</x:v>
      </x:c>
      <x:c r="C10" s="11" t="str">
        <x:v>Caps and expiry can bound acquisition subsidy</x:v>
      </x:c>
      <x:c r="D10" s="11" t="str">
        <x:v>https://fastcampus.co.kr/event_online_subscription_2412</x:v>
      </x:c>
      <x:c r="E10" s="11" t="str">
        <x:v>Official event page; ended offer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1" t="str">
        <x:v>Dropbox referral</x:v>
      </x:c>
      <x:c r="B11" s="11" t="str">
        <x:v>Referral bonus requires signup plus product activation/install</x:v>
      </x:c>
      <x:c r="C11" s="11" t="str">
        <x:v>Reward a qualified activation, not a bare account creation</x:v>
      </x:c>
      <x:c r="D11" s="11" t="str">
        <x:v>https://help.dropbox.com/storage-space/earn-space-referring-friends</x:v>
      </x:c>
      <x:c r="E11" s="11" t="str">
        <x:v>Official help page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1" t="str">
        <x:v>Working rule</x:v>
      </x:c>
      <x:c r="B12" s="11" t="str">
        <x:v>This workbook uses 2 qualified referrals = 1 free month, cap 1 month in base</x:v>
      </x:c>
      <x:c r="C12" s="11" t="str">
        <x:v>Change qualification and cap after payback data is observed</x:v>
      </x:c>
      <x:c r="D12" s="11" t="str">
        <x:v>Internal modeling assumption</x:v>
      </x:c>
      <x:c r="E12" s="11" t="str">
        <x:v>Not a sourced market fact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4" t="str">
        <x:v>Missing data to replace first</x:v>
      </x:c>
      <x:c r="B14" s="34" t="str">
        <x:v>Why it matters</x:v>
      </x:c>
      <x:c r="C14" s="34" t="str">
        <x:v>Suggested measurement</x:v>
      </x:c>
      <x:c r="D14" s="34" t="str">
        <x:v>Owner</x:v>
      </x:c>
      <x:c r="E14" s="34" t="str">
        <x:v>Status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1" t="str">
        <x:v>Trial-to-paid by plan</x:v>
      </x:c>
      <x:c r="B15" s="11" t="str">
        <x:v>Determines revenue conversion</x:v>
      </x:c>
      <x:c r="C15" s="11" t="str">
        <x:v>Cohort event from trial start to paid invoice</x:v>
      </x:c>
      <x:c r="D15" s="11" t="str">
        <x:v>Product / growth</x:v>
      </x:c>
      <x:c r="E15" s="11" t="str">
        <x:v>Input needed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1" t="str">
        <x:v>Average lecture minutes by plan</x:v>
      </x:c>
      <x:c r="B16" s="11" t="str">
        <x:v>Drives LLM variable cost</x:v>
      </x:c>
      <x:c r="C16" s="11" t="str">
        <x:v>Monthly minutes / active paid user</x:v>
      </x:c>
      <x:c r="D16" s="11" t="str">
        <x:v>Product / finance</x:v>
      </x:c>
      <x:c r="E16" s="11" t="str">
        <x:v>Input needed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1" t="str">
        <x:v>LLM cost per minute by model</x:v>
      </x:c>
      <x:c r="B17" s="11" t="str">
        <x:v>Determines contribution margin</x:v>
      </x:c>
      <x:c r="C17" s="11" t="str">
        <x:v>Invoice ÷ processed minutes</x:v>
      </x:c>
      <x:c r="D17" s="11" t="str">
        <x:v>Engineering / finance</x:v>
      </x:c>
      <x:c r="E17" s="11" t="str">
        <x:v>Input needed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11" t="str">
        <x:v>Refunds, VAT, payment fee</x:v>
      </x:c>
      <x:c r="B18" s="11" t="str">
        <x:v>Determines net revenue</x:v>
      </x:c>
      <x:c r="C18" s="11" t="str">
        <x:v>Finance settlement report</x:v>
      </x:c>
      <x:c r="D18" s="11" t="str">
        <x:v>Finance</x:v>
      </x:c>
      <x:c r="E18" s="11" t="str">
        <x:v>Input needed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pageMargins left="0.7" right="0.7" top="0.75" bottom="0.75" header="0.3" footer="0.3"/>
</x:worksheet>
</file>