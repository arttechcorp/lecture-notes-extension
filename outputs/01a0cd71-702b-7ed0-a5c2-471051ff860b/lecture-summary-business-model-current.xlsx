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giwook/Library/CloudStorage/GoogleDrive-a26070434@gmail.com/내 드라이브/Wook and Boujee/summarize/"/>
    </mc:Choice>
  </mc:AlternateContent>
  <xr:revisionPtr revIDLastSave="0" documentId="13_ncr:1_{5D22B484-C40A-4C4A-8EB8-6CA145181C4E}" xr6:coauthVersionLast="47" xr6:coauthVersionMax="47" xr10:uidLastSave="{00000000-0000-0000-0000-000000000000}"/>
  <bookViews>
    <workbookView xWindow="4540" yWindow="600" windowWidth="23180" windowHeight="17400" activeTab="1" xr2:uid="{00000000-000D-0000-FFFF-FFFF00000000}"/>
  </bookViews>
  <sheets>
    <sheet name="Overview" sheetId="1" r:id="rId1"/>
    <sheet name="Assumptions" sheetId="2" r:id="rId2"/>
    <sheet name="Monthly Model" sheetId="3" r:id="rId3"/>
    <sheet name="Sourc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6" i="3" l="1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F73" i="3"/>
  <c r="E73" i="3"/>
  <c r="D73" i="3"/>
  <c r="C73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S58" i="3"/>
  <c r="P58" i="3"/>
  <c r="M58" i="3"/>
  <c r="K58" i="3"/>
  <c r="H58" i="3"/>
  <c r="U48" i="3"/>
  <c r="N48" i="3"/>
  <c r="M48" i="3"/>
  <c r="K48" i="3"/>
  <c r="C44" i="3"/>
  <c r="Z43" i="3"/>
  <c r="F43" i="3"/>
  <c r="Z42" i="3"/>
  <c r="Y42" i="3"/>
  <c r="Y58" i="3" s="1"/>
  <c r="X42" i="3"/>
  <c r="W42" i="3"/>
  <c r="W58" i="3" s="1"/>
  <c r="V42" i="3"/>
  <c r="U42" i="3"/>
  <c r="U58" i="3" s="1"/>
  <c r="T42" i="3"/>
  <c r="T58" i="3" s="1"/>
  <c r="S42" i="3"/>
  <c r="S48" i="3" s="1"/>
  <c r="R42" i="3"/>
  <c r="Q42" i="3"/>
  <c r="Q48" i="3" s="1"/>
  <c r="P42" i="3"/>
  <c r="P48" i="3" s="1"/>
  <c r="O42" i="3"/>
  <c r="N42" i="3"/>
  <c r="N58" i="3" s="1"/>
  <c r="M42" i="3"/>
  <c r="L42" i="3"/>
  <c r="K42" i="3"/>
  <c r="J42" i="3"/>
  <c r="I42" i="3"/>
  <c r="I48" i="3" s="1"/>
  <c r="H42" i="3"/>
  <c r="H48" i="3" s="1"/>
  <c r="G42" i="3"/>
  <c r="F42" i="3"/>
  <c r="E42" i="3"/>
  <c r="E58" i="3" s="1"/>
  <c r="D42" i="3"/>
  <c r="C37" i="3"/>
  <c r="C35" i="3"/>
  <c r="C39" i="3" s="1"/>
  <c r="C24" i="3"/>
  <c r="C23" i="3"/>
  <c r="C22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C20" i="3"/>
  <c r="C19" i="3"/>
  <c r="V18" i="3"/>
  <c r="R18" i="3"/>
  <c r="N18" i="3"/>
  <c r="M18" i="3"/>
  <c r="E18" i="3"/>
  <c r="D18" i="3"/>
  <c r="Z13" i="3"/>
  <c r="Z18" i="3" s="1"/>
  <c r="V13" i="3"/>
  <c r="U13" i="3"/>
  <c r="U18" i="3" s="1"/>
  <c r="R13" i="3"/>
  <c r="Q13" i="3"/>
  <c r="Q18" i="3" s="1"/>
  <c r="N13" i="3"/>
  <c r="M13" i="3"/>
  <c r="L13" i="3"/>
  <c r="L18" i="3" s="1"/>
  <c r="E13" i="3"/>
  <c r="D13" i="3"/>
  <c r="U11" i="3"/>
  <c r="U12" i="3" s="1"/>
  <c r="G11" i="3"/>
  <c r="G12" i="3" s="1"/>
  <c r="Z10" i="3"/>
  <c r="Z11" i="3" s="1"/>
  <c r="Z12" i="3" s="1"/>
  <c r="Z41" i="3" s="1"/>
  <c r="Z57" i="3" s="1"/>
  <c r="Y10" i="3"/>
  <c r="Y43" i="3" s="1"/>
  <c r="X10" i="3"/>
  <c r="X43" i="3" s="1"/>
  <c r="W10" i="3"/>
  <c r="W43" i="3" s="1"/>
  <c r="V10" i="3"/>
  <c r="V11" i="3" s="1"/>
  <c r="V12" i="3" s="1"/>
  <c r="U10" i="3"/>
  <c r="U43" i="3" s="1"/>
  <c r="T10" i="3"/>
  <c r="T43" i="3" s="1"/>
  <c r="S10" i="3"/>
  <c r="S43" i="3" s="1"/>
  <c r="R10" i="3"/>
  <c r="R43" i="3" s="1"/>
  <c r="Q10" i="3"/>
  <c r="Q43" i="3" s="1"/>
  <c r="P10" i="3"/>
  <c r="P43" i="3" s="1"/>
  <c r="O10" i="3"/>
  <c r="O43" i="3" s="1"/>
  <c r="N10" i="3"/>
  <c r="N43" i="3" s="1"/>
  <c r="M10" i="3"/>
  <c r="M43" i="3" s="1"/>
  <c r="L10" i="3"/>
  <c r="L11" i="3" s="1"/>
  <c r="L12" i="3" s="1"/>
  <c r="K10" i="3"/>
  <c r="K43" i="3" s="1"/>
  <c r="J10" i="3"/>
  <c r="J43" i="3" s="1"/>
  <c r="I10" i="3"/>
  <c r="I43" i="3" s="1"/>
  <c r="H10" i="3"/>
  <c r="H43" i="3" s="1"/>
  <c r="G10" i="3"/>
  <c r="G43" i="3" s="1"/>
  <c r="F10" i="3"/>
  <c r="F11" i="3" s="1"/>
  <c r="F12" i="3" s="1"/>
  <c r="E10" i="3"/>
  <c r="E43" i="3" s="1"/>
  <c r="Z9" i="3"/>
  <c r="Y9" i="3"/>
  <c r="Y13" i="3" s="1"/>
  <c r="Y18" i="3" s="1"/>
  <c r="X9" i="3"/>
  <c r="X13" i="3" s="1"/>
  <c r="X18" i="3" s="1"/>
  <c r="W9" i="3"/>
  <c r="W13" i="3" s="1"/>
  <c r="W18" i="3" s="1"/>
  <c r="V9" i="3"/>
  <c r="U9" i="3"/>
  <c r="T9" i="3"/>
  <c r="T13" i="3" s="1"/>
  <c r="T18" i="3" s="1"/>
  <c r="S9" i="3"/>
  <c r="S13" i="3" s="1"/>
  <c r="S18" i="3" s="1"/>
  <c r="R9" i="3"/>
  <c r="Q9" i="3"/>
  <c r="P9" i="3"/>
  <c r="P13" i="3" s="1"/>
  <c r="P18" i="3" s="1"/>
  <c r="O9" i="3"/>
  <c r="O13" i="3" s="1"/>
  <c r="O18" i="3" s="1"/>
  <c r="N9" i="3"/>
  <c r="M9" i="3"/>
  <c r="L9" i="3"/>
  <c r="K9" i="3"/>
  <c r="K13" i="3" s="1"/>
  <c r="K18" i="3" s="1"/>
  <c r="J9" i="3"/>
  <c r="J13" i="3" s="1"/>
  <c r="J18" i="3" s="1"/>
  <c r="I9" i="3"/>
  <c r="I13" i="3" s="1"/>
  <c r="I18" i="3" s="1"/>
  <c r="H9" i="3"/>
  <c r="H13" i="3" s="1"/>
  <c r="H18" i="3" s="1"/>
  <c r="G9" i="3"/>
  <c r="G13" i="3" s="1"/>
  <c r="G18" i="3" s="1"/>
  <c r="F9" i="3"/>
  <c r="F13" i="3" s="1"/>
  <c r="F18" i="3" s="1"/>
  <c r="E9" i="3"/>
  <c r="D9" i="3"/>
  <c r="C9" i="3"/>
  <c r="C13" i="3" s="1"/>
  <c r="C18" i="3" s="1"/>
  <c r="C21" i="3" s="1"/>
  <c r="Z6" i="3"/>
  <c r="Z7" i="3" s="1"/>
  <c r="Y6" i="3"/>
  <c r="Y7" i="3" s="1"/>
  <c r="X6" i="3"/>
  <c r="X7" i="3" s="1"/>
  <c r="X8" i="3" s="1"/>
  <c r="W6" i="3"/>
  <c r="W7" i="3" s="1"/>
  <c r="V6" i="3"/>
  <c r="V7" i="3" s="1"/>
  <c r="U6" i="3"/>
  <c r="U7" i="3" s="1"/>
  <c r="T6" i="3"/>
  <c r="T7" i="3" s="1"/>
  <c r="S6" i="3"/>
  <c r="S7" i="3" s="1"/>
  <c r="R6" i="3"/>
  <c r="R7" i="3" s="1"/>
  <c r="Q6" i="3"/>
  <c r="Q7" i="3" s="1"/>
  <c r="P6" i="3"/>
  <c r="P7" i="3" s="1"/>
  <c r="O6" i="3"/>
  <c r="O7" i="3" s="1"/>
  <c r="N6" i="3"/>
  <c r="N7" i="3" s="1"/>
  <c r="M6" i="3"/>
  <c r="M7" i="3" s="1"/>
  <c r="L6" i="3"/>
  <c r="L7" i="3" s="1"/>
  <c r="K6" i="3"/>
  <c r="K7" i="3" s="1"/>
  <c r="J6" i="3"/>
  <c r="J7" i="3" s="1"/>
  <c r="I6" i="3"/>
  <c r="I7" i="3" s="1"/>
  <c r="H6" i="3"/>
  <c r="H7" i="3" s="1"/>
  <c r="G6" i="3"/>
  <c r="G7" i="3" s="1"/>
  <c r="F6" i="3"/>
  <c r="F7" i="3" s="1"/>
  <c r="F8" i="3" s="1"/>
  <c r="F15" i="3" s="1"/>
  <c r="E6" i="3"/>
  <c r="E7" i="3" s="1"/>
  <c r="D6" i="3"/>
  <c r="D7" i="3" s="1"/>
  <c r="C6" i="3"/>
  <c r="C7" i="3" s="1"/>
  <c r="H10" i="2"/>
  <c r="D13" i="1"/>
  <c r="G14" i="3" l="1"/>
  <c r="G8" i="3"/>
  <c r="G15" i="3" s="1"/>
  <c r="O8" i="3"/>
  <c r="W8" i="3"/>
  <c r="V8" i="3"/>
  <c r="V15" i="3" s="1"/>
  <c r="V14" i="3"/>
  <c r="G41" i="3"/>
  <c r="G57" i="3" s="1"/>
  <c r="H37" i="3"/>
  <c r="H19" i="3"/>
  <c r="H21" i="3" s="1"/>
  <c r="H8" i="3"/>
  <c r="P8" i="3"/>
  <c r="M19" i="3"/>
  <c r="M21" i="3" s="1"/>
  <c r="L41" i="3"/>
  <c r="L57" i="3" s="1"/>
  <c r="M37" i="3"/>
  <c r="O11" i="3"/>
  <c r="F14" i="3"/>
  <c r="I14" i="3"/>
  <c r="I8" i="3"/>
  <c r="I15" i="3" s="1"/>
  <c r="Q14" i="3"/>
  <c r="Q8" i="3"/>
  <c r="Y8" i="3"/>
  <c r="U41" i="3"/>
  <c r="U57" i="3" s="1"/>
  <c r="V19" i="3"/>
  <c r="V37" i="3"/>
  <c r="J14" i="3"/>
  <c r="J8" i="3"/>
  <c r="J15" i="3" s="1"/>
  <c r="R8" i="3"/>
  <c r="Z14" i="3"/>
  <c r="Z8" i="3"/>
  <c r="Z15" i="3" s="1"/>
  <c r="F41" i="3"/>
  <c r="F57" i="3" s="1"/>
  <c r="G37" i="3"/>
  <c r="G19" i="3"/>
  <c r="G21" i="3" s="1"/>
  <c r="V41" i="3"/>
  <c r="V57" i="3" s="1"/>
  <c r="W19" i="3"/>
  <c r="W37" i="3"/>
  <c r="W11" i="3"/>
  <c r="W12" i="3" s="1"/>
  <c r="X14" i="3"/>
  <c r="V21" i="3"/>
  <c r="N8" i="3"/>
  <c r="C8" i="3"/>
  <c r="K8" i="3"/>
  <c r="S14" i="3"/>
  <c r="S8" i="3"/>
  <c r="S15" i="3" s="1"/>
  <c r="D8" i="3"/>
  <c r="L14" i="3"/>
  <c r="L8" i="3"/>
  <c r="L15" i="3" s="1"/>
  <c r="T8" i="3"/>
  <c r="E8" i="3"/>
  <c r="M8" i="3"/>
  <c r="M15" i="3" s="1"/>
  <c r="U8" i="3"/>
  <c r="U15" i="3" s="1"/>
  <c r="U14" i="3"/>
  <c r="W21" i="3"/>
  <c r="Y11" i="3"/>
  <c r="Y12" i="3" s="1"/>
  <c r="P11" i="3"/>
  <c r="P12" i="3" s="1"/>
  <c r="X11" i="3"/>
  <c r="X12" i="3" s="1"/>
  <c r="X15" i="3" s="1"/>
  <c r="J11" i="3"/>
  <c r="J12" i="3" s="1"/>
  <c r="R11" i="3"/>
  <c r="R12" i="3" s="1"/>
  <c r="L43" i="3"/>
  <c r="T48" i="3"/>
  <c r="I11" i="3"/>
  <c r="I12" i="3" s="1"/>
  <c r="Q11" i="3"/>
  <c r="Q12" i="3" s="1"/>
  <c r="D58" i="3"/>
  <c r="D48" i="3"/>
  <c r="L58" i="3"/>
  <c r="L48" i="3"/>
  <c r="C30" i="3"/>
  <c r="C29" i="3"/>
  <c r="C28" i="3"/>
  <c r="K11" i="3"/>
  <c r="K12" i="3" s="1"/>
  <c r="S11" i="3"/>
  <c r="S12" i="3" s="1"/>
  <c r="F58" i="3"/>
  <c r="F48" i="3"/>
  <c r="V58" i="3"/>
  <c r="V48" i="3"/>
  <c r="V43" i="3"/>
  <c r="J58" i="3"/>
  <c r="J48" i="3"/>
  <c r="R58" i="3"/>
  <c r="R48" i="3"/>
  <c r="Z58" i="3"/>
  <c r="Z48" i="3"/>
  <c r="H11" i="3"/>
  <c r="T11" i="3"/>
  <c r="T12" i="3" s="1"/>
  <c r="E11" i="3"/>
  <c r="E12" i="3" s="1"/>
  <c r="M11" i="3"/>
  <c r="M12" i="3" s="1"/>
  <c r="N11" i="3"/>
  <c r="G48" i="3"/>
  <c r="G58" i="3"/>
  <c r="O58" i="3"/>
  <c r="O48" i="3"/>
  <c r="C25" i="3"/>
  <c r="C26" i="3"/>
  <c r="C32" i="3" s="1"/>
  <c r="D23" i="3" s="1"/>
  <c r="C27" i="3"/>
  <c r="C33" i="3" s="1"/>
  <c r="D24" i="3" s="1"/>
  <c r="X58" i="3"/>
  <c r="X48" i="3"/>
  <c r="Q58" i="3"/>
  <c r="Y48" i="3"/>
  <c r="E48" i="3"/>
  <c r="I58" i="3"/>
  <c r="W48" i="3"/>
  <c r="G30" i="3" l="1"/>
  <c r="G28" i="3"/>
  <c r="G29" i="3"/>
  <c r="D27" i="3"/>
  <c r="D26" i="3"/>
  <c r="M29" i="3"/>
  <c r="M30" i="3"/>
  <c r="M28" i="3"/>
  <c r="H30" i="3"/>
  <c r="H28" i="3"/>
  <c r="H29" i="3"/>
  <c r="C13" i="1"/>
  <c r="N12" i="3"/>
  <c r="T15" i="3"/>
  <c r="C38" i="3"/>
  <c r="F37" i="3"/>
  <c r="E41" i="3"/>
  <c r="E57" i="3" s="1"/>
  <c r="F19" i="3"/>
  <c r="F21" i="3" s="1"/>
  <c r="Q41" i="3"/>
  <c r="Q57" i="3" s="1"/>
  <c r="R37" i="3"/>
  <c r="R19" i="3"/>
  <c r="R21" i="3" s="1"/>
  <c r="K37" i="3"/>
  <c r="J41" i="3"/>
  <c r="J57" i="3" s="1"/>
  <c r="K19" i="3"/>
  <c r="K21" i="3" s="1"/>
  <c r="E15" i="3"/>
  <c r="K15" i="3"/>
  <c r="X92" i="3"/>
  <c r="X85" i="3"/>
  <c r="X36" i="3"/>
  <c r="I41" i="3"/>
  <c r="I57" i="3" s="1"/>
  <c r="J37" i="3"/>
  <c r="J19" i="3"/>
  <c r="J21" i="3" s="1"/>
  <c r="W29" i="3"/>
  <c r="W30" i="3"/>
  <c r="W28" i="3"/>
  <c r="E14" i="3"/>
  <c r="K14" i="3"/>
  <c r="X37" i="3"/>
  <c r="W41" i="3"/>
  <c r="W57" i="3" s="1"/>
  <c r="X19" i="3"/>
  <c r="X21" i="3" s="1"/>
  <c r="W15" i="3"/>
  <c r="Z85" i="3"/>
  <c r="Z92" i="3"/>
  <c r="D7" i="1"/>
  <c r="Z36" i="3"/>
  <c r="Y15" i="3"/>
  <c r="F92" i="3"/>
  <c r="F85" i="3"/>
  <c r="F36" i="3"/>
  <c r="P15" i="3"/>
  <c r="W14" i="3"/>
  <c r="U92" i="3"/>
  <c r="U85" i="3"/>
  <c r="U36" i="3"/>
  <c r="B13" i="1"/>
  <c r="H12" i="3"/>
  <c r="Y41" i="3"/>
  <c r="Y57" i="3" s="1"/>
  <c r="Z37" i="3"/>
  <c r="Z19" i="3"/>
  <c r="Z21" i="3" s="1"/>
  <c r="N15" i="3"/>
  <c r="L85" i="3"/>
  <c r="L92" i="3"/>
  <c r="L36" i="3"/>
  <c r="N14" i="3"/>
  <c r="J92" i="3"/>
  <c r="J85" i="3"/>
  <c r="J36" i="3"/>
  <c r="N19" i="3"/>
  <c r="N21" i="3" s="1"/>
  <c r="M41" i="3"/>
  <c r="M57" i="3" s="1"/>
  <c r="N37" i="3"/>
  <c r="S37" i="3"/>
  <c r="S19" i="3"/>
  <c r="S21" i="3" s="1"/>
  <c r="R41" i="3"/>
  <c r="R57" i="3" s="1"/>
  <c r="M14" i="3"/>
  <c r="S36" i="3"/>
  <c r="S85" i="3"/>
  <c r="S92" i="3"/>
  <c r="V29" i="3"/>
  <c r="V30" i="3"/>
  <c r="V28" i="3"/>
  <c r="C31" i="3"/>
  <c r="C42" i="3"/>
  <c r="D20" i="3"/>
  <c r="C10" i="3"/>
  <c r="S41" i="3"/>
  <c r="S57" i="3" s="1"/>
  <c r="T37" i="3"/>
  <c r="T19" i="3"/>
  <c r="T21" i="3" s="1"/>
  <c r="X41" i="3"/>
  <c r="X57" i="3" s="1"/>
  <c r="Y37" i="3"/>
  <c r="Y19" i="3"/>
  <c r="Y21" i="3" s="1"/>
  <c r="T14" i="3"/>
  <c r="C22" i="1"/>
  <c r="R15" i="3"/>
  <c r="Y14" i="3"/>
  <c r="P14" i="3"/>
  <c r="O15" i="3"/>
  <c r="K41" i="3"/>
  <c r="K57" i="3" s="1"/>
  <c r="L19" i="3"/>
  <c r="L21" i="3" s="1"/>
  <c r="L37" i="3"/>
  <c r="R14" i="3"/>
  <c r="Q15" i="3"/>
  <c r="Q36" i="3" s="1"/>
  <c r="O12" i="3"/>
  <c r="C21" i="1"/>
  <c r="H14" i="3"/>
  <c r="O14" i="3"/>
  <c r="Q92" i="3"/>
  <c r="Q85" i="3"/>
  <c r="H15" i="3"/>
  <c r="P41" i="3"/>
  <c r="P57" i="3" s="1"/>
  <c r="Q37" i="3"/>
  <c r="Q19" i="3"/>
  <c r="Q21" i="3" s="1"/>
  <c r="G92" i="3"/>
  <c r="G85" i="3"/>
  <c r="G36" i="3"/>
  <c r="T41" i="3"/>
  <c r="T57" i="3" s="1"/>
  <c r="U37" i="3"/>
  <c r="U19" i="3"/>
  <c r="U21" i="3" s="1"/>
  <c r="I92" i="3"/>
  <c r="I85" i="3"/>
  <c r="I36" i="3"/>
  <c r="V92" i="3"/>
  <c r="V85" i="3"/>
  <c r="V36" i="3"/>
  <c r="V94" i="3" l="1"/>
  <c r="V93" i="3"/>
  <c r="K36" i="3"/>
  <c r="K92" i="3"/>
  <c r="K85" i="3"/>
  <c r="R28" i="3"/>
  <c r="R29" i="3"/>
  <c r="R30" i="3"/>
  <c r="L29" i="3"/>
  <c r="L28" i="3"/>
  <c r="L30" i="3"/>
  <c r="O37" i="3"/>
  <c r="N41" i="3"/>
  <c r="N57" i="3" s="1"/>
  <c r="O19" i="3"/>
  <c r="O21" i="3" s="1"/>
  <c r="O92" i="3"/>
  <c r="O85" i="3"/>
  <c r="C17" i="1"/>
  <c r="O36" i="3"/>
  <c r="T92" i="3"/>
  <c r="T85" i="3"/>
  <c r="T36" i="3"/>
  <c r="F30" i="3"/>
  <c r="F28" i="3"/>
  <c r="F29" i="3"/>
  <c r="G94" i="3"/>
  <c r="G93" i="3"/>
  <c r="Q93" i="3"/>
  <c r="Q94" i="3"/>
  <c r="Y30" i="3"/>
  <c r="Y28" i="3"/>
  <c r="Y29" i="3"/>
  <c r="N29" i="3"/>
  <c r="N30" i="3"/>
  <c r="N28" i="3"/>
  <c r="U94" i="3"/>
  <c r="U93" i="3"/>
  <c r="E92" i="3"/>
  <c r="E85" i="3"/>
  <c r="E36" i="3"/>
  <c r="Z30" i="3"/>
  <c r="Z28" i="3"/>
  <c r="Z29" i="3"/>
  <c r="W92" i="3"/>
  <c r="W85" i="3"/>
  <c r="W36" i="3"/>
  <c r="Z94" i="3"/>
  <c r="Z93" i="3"/>
  <c r="X93" i="3"/>
  <c r="X94" i="3"/>
  <c r="Q30" i="3"/>
  <c r="Q28" i="3"/>
  <c r="Q29" i="3"/>
  <c r="H92" i="3"/>
  <c r="H85" i="3"/>
  <c r="H36" i="3"/>
  <c r="B7" i="1"/>
  <c r="C34" i="3"/>
  <c r="C56" i="3"/>
  <c r="C47" i="3"/>
  <c r="D22" i="3"/>
  <c r="M92" i="3"/>
  <c r="M85" i="3"/>
  <c r="M36" i="3"/>
  <c r="U29" i="3"/>
  <c r="U30" i="3"/>
  <c r="U28" i="3"/>
  <c r="P85" i="3"/>
  <c r="P92" i="3"/>
  <c r="P36" i="3"/>
  <c r="T28" i="3"/>
  <c r="T29" i="3"/>
  <c r="T30" i="3"/>
  <c r="J93" i="3"/>
  <c r="J94" i="3"/>
  <c r="C48" i="3"/>
  <c r="C58" i="3"/>
  <c r="I93" i="3"/>
  <c r="I94" i="3"/>
  <c r="P37" i="3"/>
  <c r="O41" i="3"/>
  <c r="O57" i="3" s="1"/>
  <c r="P19" i="3"/>
  <c r="P21" i="3" s="1"/>
  <c r="Y85" i="3"/>
  <c r="Y92" i="3"/>
  <c r="Y36" i="3"/>
  <c r="S30" i="3"/>
  <c r="S29" i="3"/>
  <c r="S28" i="3"/>
  <c r="N92" i="3"/>
  <c r="N85" i="3"/>
  <c r="C7" i="1"/>
  <c r="N36" i="3"/>
  <c r="H41" i="3"/>
  <c r="H57" i="3" s="1"/>
  <c r="I19" i="3"/>
  <c r="I21" i="3" s="1"/>
  <c r="I37" i="3"/>
  <c r="X30" i="3"/>
  <c r="X28" i="3"/>
  <c r="X29" i="3"/>
  <c r="J28" i="3"/>
  <c r="J29" i="3"/>
  <c r="J30" i="3"/>
  <c r="K30" i="3"/>
  <c r="K29" i="3"/>
  <c r="K28" i="3"/>
  <c r="F94" i="3"/>
  <c r="F93" i="3"/>
  <c r="R85" i="3"/>
  <c r="R92" i="3"/>
  <c r="R36" i="3"/>
  <c r="C43" i="3"/>
  <c r="C11" i="3"/>
  <c r="S94" i="3"/>
  <c r="S93" i="3"/>
  <c r="L94" i="3"/>
  <c r="L93" i="3"/>
  <c r="R93" i="3" l="1"/>
  <c r="R94" i="3"/>
  <c r="L96" i="3"/>
  <c r="W94" i="3"/>
  <c r="W93" i="3"/>
  <c r="Q96" i="3"/>
  <c r="T93" i="3"/>
  <c r="T94" i="3"/>
  <c r="F96" i="3"/>
  <c r="S96" i="3"/>
  <c r="N94" i="3"/>
  <c r="N93" i="3"/>
  <c r="X96" i="3"/>
  <c r="C12" i="3"/>
  <c r="C14" i="3"/>
  <c r="O30" i="3"/>
  <c r="O28" i="3"/>
  <c r="O29" i="3"/>
  <c r="Y93" i="3"/>
  <c r="Y94" i="3"/>
  <c r="Z96" i="3"/>
  <c r="O94" i="3"/>
  <c r="O93" i="3"/>
  <c r="I28" i="3"/>
  <c r="I29" i="3"/>
  <c r="I30" i="3"/>
  <c r="I96" i="3"/>
  <c r="M94" i="3"/>
  <c r="M93" i="3"/>
  <c r="P93" i="3"/>
  <c r="P94" i="3"/>
  <c r="D25" i="3"/>
  <c r="D38" i="3" s="1"/>
  <c r="H93" i="3"/>
  <c r="H94" i="3"/>
  <c r="E94" i="3"/>
  <c r="E93" i="3"/>
  <c r="C49" i="3"/>
  <c r="C50" i="3" s="1"/>
  <c r="U96" i="3"/>
  <c r="K93" i="3"/>
  <c r="K94" i="3"/>
  <c r="P30" i="3"/>
  <c r="P28" i="3"/>
  <c r="P29" i="3"/>
  <c r="J96" i="3"/>
  <c r="C86" i="3"/>
  <c r="C53" i="3"/>
  <c r="C88" i="3"/>
  <c r="G96" i="3"/>
  <c r="V96" i="3"/>
  <c r="C68" i="3" l="1"/>
  <c r="C51" i="3"/>
  <c r="C52" i="3"/>
  <c r="P96" i="3"/>
  <c r="N96" i="3"/>
  <c r="E96" i="3"/>
  <c r="M96" i="3"/>
  <c r="O96" i="3"/>
  <c r="W96" i="3"/>
  <c r="H96" i="3"/>
  <c r="C98" i="3"/>
  <c r="C85" i="3"/>
  <c r="C92" i="3"/>
  <c r="K96" i="3"/>
  <c r="C41" i="3"/>
  <c r="C57" i="3" s="1"/>
  <c r="C60" i="3" s="1"/>
  <c r="D19" i="3"/>
  <c r="D21" i="3" s="1"/>
  <c r="D10" i="3"/>
  <c r="D37" i="3"/>
  <c r="C15" i="3"/>
  <c r="C36" i="3" s="1"/>
  <c r="C40" i="3" s="1"/>
  <c r="Y96" i="3"/>
  <c r="T96" i="3"/>
  <c r="R96" i="3"/>
  <c r="C59" i="3" l="1"/>
  <c r="D35" i="3"/>
  <c r="D39" i="3" s="1"/>
  <c r="C87" i="3"/>
  <c r="C97" i="3"/>
  <c r="C70" i="3"/>
  <c r="C65" i="3"/>
  <c r="C62" i="3"/>
  <c r="C61" i="3"/>
  <c r="C63" i="3" s="1"/>
  <c r="C94" i="3"/>
  <c r="C93" i="3"/>
  <c r="C89" i="3"/>
  <c r="B25" i="1"/>
  <c r="D11" i="3"/>
  <c r="D43" i="3"/>
  <c r="D29" i="3"/>
  <c r="D32" i="3" s="1"/>
  <c r="E23" i="3" s="1"/>
  <c r="D30" i="3"/>
  <c r="D33" i="3" s="1"/>
  <c r="E24" i="3" s="1"/>
  <c r="D28" i="3"/>
  <c r="D31" i="3" s="1"/>
  <c r="C101" i="3"/>
  <c r="C99" i="3"/>
  <c r="B22" i="1" l="1"/>
  <c r="D22" i="1" s="1"/>
  <c r="D12" i="3"/>
  <c r="D14" i="3"/>
  <c r="B21" i="1"/>
  <c r="D21" i="1" s="1"/>
  <c r="C103" i="3"/>
  <c r="C102" i="3"/>
  <c r="C67" i="3" s="1"/>
  <c r="C100" i="3"/>
  <c r="E26" i="3"/>
  <c r="C96" i="3"/>
  <c r="C95" i="3"/>
  <c r="C66" i="3" s="1"/>
  <c r="C74" i="3" s="1"/>
  <c r="C64" i="3"/>
  <c r="D56" i="3"/>
  <c r="D47" i="3"/>
  <c r="D34" i="3"/>
  <c r="E22" i="3"/>
  <c r="E27" i="3"/>
  <c r="C25" i="1" l="1"/>
  <c r="C75" i="3"/>
  <c r="D41" i="3"/>
  <c r="D57" i="3" s="1"/>
  <c r="E19" i="3"/>
  <c r="E21" i="3" s="1"/>
  <c r="E37" i="3"/>
  <c r="D15" i="3"/>
  <c r="D92" i="3"/>
  <c r="D85" i="3"/>
  <c r="D36" i="3"/>
  <c r="D40" i="3" s="1"/>
  <c r="D97" i="3" s="1"/>
  <c r="P98" i="3"/>
  <c r="U98" i="3"/>
  <c r="Z98" i="3"/>
  <c r="H98" i="3"/>
  <c r="M98" i="3"/>
  <c r="R98" i="3"/>
  <c r="W98" i="3"/>
  <c r="E98" i="3"/>
  <c r="O98" i="3"/>
  <c r="T98" i="3"/>
  <c r="Y98" i="3"/>
  <c r="G98" i="3"/>
  <c r="L98" i="3"/>
  <c r="B17" i="1"/>
  <c r="D17" i="1" s="1"/>
  <c r="Q98" i="3"/>
  <c r="S98" i="3"/>
  <c r="K98" i="3"/>
  <c r="J98" i="3"/>
  <c r="V98" i="3"/>
  <c r="D98" i="3"/>
  <c r="I98" i="3"/>
  <c r="N98" i="3"/>
  <c r="F98" i="3"/>
  <c r="X98" i="3"/>
  <c r="E25" i="3"/>
  <c r="E38" i="3" s="1"/>
  <c r="D86" i="3"/>
  <c r="D44" i="3"/>
  <c r="D53" i="3" s="1"/>
  <c r="D60" i="3"/>
  <c r="D100" i="3" l="1"/>
  <c r="O101" i="3"/>
  <c r="O99" i="3"/>
  <c r="I101" i="3"/>
  <c r="I99" i="3"/>
  <c r="M101" i="3"/>
  <c r="M99" i="3"/>
  <c r="D101" i="3"/>
  <c r="D99" i="3"/>
  <c r="D103" i="3" s="1"/>
  <c r="G101" i="3"/>
  <c r="G99" i="3"/>
  <c r="H101" i="3"/>
  <c r="H99" i="3"/>
  <c r="E29" i="3"/>
  <c r="E32" i="3" s="1"/>
  <c r="F23" i="3" s="1"/>
  <c r="E30" i="3"/>
  <c r="E33" i="3" s="1"/>
  <c r="F24" i="3" s="1"/>
  <c r="E28" i="3"/>
  <c r="D65" i="3"/>
  <c r="D61" i="3"/>
  <c r="D62" i="3"/>
  <c r="K101" i="3"/>
  <c r="K99" i="3"/>
  <c r="P101" i="3"/>
  <c r="P99" i="3"/>
  <c r="C77" i="3"/>
  <c r="C78" i="3" s="1"/>
  <c r="C80" i="3" s="1"/>
  <c r="C79" i="3"/>
  <c r="D76" i="3" s="1"/>
  <c r="X101" i="3"/>
  <c r="X99" i="3"/>
  <c r="S101" i="3"/>
  <c r="S99" i="3"/>
  <c r="E101" i="3"/>
  <c r="E99" i="3"/>
  <c r="D59" i="3"/>
  <c r="E35" i="3"/>
  <c r="E39" i="3" s="1"/>
  <c r="E40" i="3" s="1"/>
  <c r="D70" i="3"/>
  <c r="L101" i="3"/>
  <c r="L99" i="3"/>
  <c r="V101" i="3"/>
  <c r="V99" i="3"/>
  <c r="Y101" i="3"/>
  <c r="Y99" i="3"/>
  <c r="Z101" i="3"/>
  <c r="Z99" i="3"/>
  <c r="E31" i="3"/>
  <c r="J101" i="3"/>
  <c r="J99" i="3"/>
  <c r="T101" i="3"/>
  <c r="T99" i="3"/>
  <c r="U101" i="3"/>
  <c r="U99" i="3"/>
  <c r="D88" i="3"/>
  <c r="D49" i="3"/>
  <c r="D50" i="3" s="1"/>
  <c r="F101" i="3"/>
  <c r="F99" i="3"/>
  <c r="Q101" i="3"/>
  <c r="Q99" i="3"/>
  <c r="W101" i="3"/>
  <c r="W99" i="3"/>
  <c r="N101" i="3"/>
  <c r="N99" i="3"/>
  <c r="R101" i="3"/>
  <c r="R99" i="3"/>
  <c r="D93" i="3"/>
  <c r="D94" i="3"/>
  <c r="E59" i="3" l="1"/>
  <c r="F35" i="3"/>
  <c r="F39" i="3" s="1"/>
  <c r="D63" i="3"/>
  <c r="D95" i="3"/>
  <c r="D96" i="3"/>
  <c r="D68" i="3"/>
  <c r="D51" i="3"/>
  <c r="D52" i="3" s="1"/>
  <c r="E56" i="3"/>
  <c r="E60" i="3" s="1"/>
  <c r="E47" i="3"/>
  <c r="E34" i="3"/>
  <c r="F22" i="3"/>
  <c r="D87" i="3"/>
  <c r="C81" i="3"/>
  <c r="D25" i="1"/>
  <c r="C82" i="3"/>
  <c r="F27" i="3"/>
  <c r="F33" i="3"/>
  <c r="G24" i="3" s="1"/>
  <c r="D102" i="3"/>
  <c r="D67" i="3" s="1"/>
  <c r="F26" i="3"/>
  <c r="F32" i="3" s="1"/>
  <c r="G23" i="3" s="1"/>
  <c r="D89" i="3" l="1"/>
  <c r="B26" i="1"/>
  <c r="G26" i="3"/>
  <c r="G32" i="3" s="1"/>
  <c r="H23" i="3" s="1"/>
  <c r="G27" i="3"/>
  <c r="G33" i="3"/>
  <c r="H24" i="3" s="1"/>
  <c r="F25" i="3"/>
  <c r="F38" i="3" s="1"/>
  <c r="F40" i="3" s="1"/>
  <c r="F31" i="3"/>
  <c r="E97" i="3"/>
  <c r="E86" i="3"/>
  <c r="E70" i="3"/>
  <c r="E53" i="3"/>
  <c r="E44" i="3"/>
  <c r="D66" i="3"/>
  <c r="E95" i="3"/>
  <c r="D64" i="3"/>
  <c r="D74" i="3" s="1"/>
  <c r="E65" i="3"/>
  <c r="E61" i="3"/>
  <c r="E63" i="3" s="1"/>
  <c r="E62" i="3"/>
  <c r="C26" i="1" l="1"/>
  <c r="D75" i="3"/>
  <c r="H26" i="3"/>
  <c r="H32" i="3"/>
  <c r="I23" i="3" s="1"/>
  <c r="E64" i="3"/>
  <c r="E100" i="3"/>
  <c r="E102" i="3" s="1"/>
  <c r="E67" i="3" s="1"/>
  <c r="F47" i="3"/>
  <c r="F34" i="3"/>
  <c r="G22" i="3"/>
  <c r="F56" i="3"/>
  <c r="F60" i="3" s="1"/>
  <c r="E66" i="3"/>
  <c r="F95" i="3"/>
  <c r="F59" i="3"/>
  <c r="G35" i="3"/>
  <c r="G39" i="3" s="1"/>
  <c r="H27" i="3"/>
  <c r="H33" i="3" s="1"/>
  <c r="I24" i="3" s="1"/>
  <c r="E88" i="3"/>
  <c r="E49" i="3"/>
  <c r="E50" i="3" s="1"/>
  <c r="I27" i="3" l="1"/>
  <c r="I33" i="3" s="1"/>
  <c r="J24" i="3" s="1"/>
  <c r="D77" i="3"/>
  <c r="D78" i="3" s="1"/>
  <c r="D80" i="3" s="1"/>
  <c r="D79" i="3"/>
  <c r="E76" i="3" s="1"/>
  <c r="E103" i="3"/>
  <c r="E68" i="3"/>
  <c r="E74" i="3" s="1"/>
  <c r="E51" i="3"/>
  <c r="E52" i="3" s="1"/>
  <c r="E87" i="3"/>
  <c r="F65" i="3"/>
  <c r="F61" i="3"/>
  <c r="F62" i="3"/>
  <c r="G25" i="3"/>
  <c r="G38" i="3" s="1"/>
  <c r="G40" i="3" s="1"/>
  <c r="G31" i="3"/>
  <c r="F97" i="3"/>
  <c r="F86" i="3"/>
  <c r="F70" i="3"/>
  <c r="F44" i="3"/>
  <c r="I26" i="3"/>
  <c r="I32" i="3"/>
  <c r="J23" i="3" s="1"/>
  <c r="F66" i="3"/>
  <c r="G95" i="3"/>
  <c r="E89" i="3" l="1"/>
  <c r="E75" i="3"/>
  <c r="E79" i="3" s="1"/>
  <c r="F76" i="3" s="1"/>
  <c r="B27" i="1"/>
  <c r="C27" i="1"/>
  <c r="J33" i="3"/>
  <c r="K24" i="3" s="1"/>
  <c r="J27" i="3"/>
  <c r="G56" i="3"/>
  <c r="G60" i="3" s="1"/>
  <c r="G47" i="3"/>
  <c r="G34" i="3"/>
  <c r="H22" i="3"/>
  <c r="J26" i="3"/>
  <c r="J32" i="3"/>
  <c r="K23" i="3" s="1"/>
  <c r="G59" i="3"/>
  <c r="H35" i="3"/>
  <c r="H39" i="3" s="1"/>
  <c r="F88" i="3"/>
  <c r="F49" i="3"/>
  <c r="F50" i="3" s="1"/>
  <c r="F63" i="3"/>
  <c r="D26" i="1"/>
  <c r="D82" i="3"/>
  <c r="D81" i="3"/>
  <c r="F53" i="3"/>
  <c r="G66" i="3"/>
  <c r="H95" i="3"/>
  <c r="F100" i="3"/>
  <c r="F103" i="3" s="1"/>
  <c r="F64" i="3" l="1"/>
  <c r="F68" i="3"/>
  <c r="F51" i="3"/>
  <c r="F52" i="3"/>
  <c r="F87" i="3"/>
  <c r="K26" i="3"/>
  <c r="K32" i="3" s="1"/>
  <c r="L23" i="3" s="1"/>
  <c r="K27" i="3"/>
  <c r="K33" i="3" s="1"/>
  <c r="L24" i="3" s="1"/>
  <c r="F102" i="3"/>
  <c r="F67" i="3" s="1"/>
  <c r="H25" i="3"/>
  <c r="H38" i="3" s="1"/>
  <c r="H40" i="3" s="1"/>
  <c r="H31" i="3"/>
  <c r="H66" i="3"/>
  <c r="I95" i="3"/>
  <c r="G97" i="3"/>
  <c r="G86" i="3"/>
  <c r="G70" i="3"/>
  <c r="G44" i="3"/>
  <c r="G61" i="3"/>
  <c r="G62" i="3"/>
  <c r="G65" i="3"/>
  <c r="E77" i="3"/>
  <c r="E78" i="3" s="1"/>
  <c r="E80" i="3" s="1"/>
  <c r="F74" i="3" l="1"/>
  <c r="F75" i="3" s="1"/>
  <c r="L27" i="3"/>
  <c r="L33" i="3"/>
  <c r="M24" i="3" s="1"/>
  <c r="L26" i="3"/>
  <c r="L32" i="3"/>
  <c r="M23" i="3" s="1"/>
  <c r="D27" i="1"/>
  <c r="E82" i="3"/>
  <c r="E81" i="3"/>
  <c r="C28" i="1"/>
  <c r="G100" i="3"/>
  <c r="G103" i="3" s="1"/>
  <c r="G63" i="3"/>
  <c r="I66" i="3"/>
  <c r="J95" i="3"/>
  <c r="H56" i="3"/>
  <c r="H60" i="3" s="1"/>
  <c r="H47" i="3"/>
  <c r="H34" i="3"/>
  <c r="I22" i="3"/>
  <c r="F89" i="3"/>
  <c r="B28" i="1"/>
  <c r="G88" i="3"/>
  <c r="G49" i="3"/>
  <c r="G50" i="3" s="1"/>
  <c r="H59" i="3"/>
  <c r="I35" i="3"/>
  <c r="I39" i="3" s="1"/>
  <c r="G53" i="3"/>
  <c r="J66" i="3" l="1"/>
  <c r="K95" i="3"/>
  <c r="G64" i="3"/>
  <c r="I25" i="3"/>
  <c r="I38" i="3" s="1"/>
  <c r="I40" i="3" s="1"/>
  <c r="I31" i="3"/>
  <c r="G68" i="3"/>
  <c r="G51" i="3"/>
  <c r="G52" i="3" s="1"/>
  <c r="G87" i="3"/>
  <c r="H70" i="3"/>
  <c r="H97" i="3"/>
  <c r="H86" i="3"/>
  <c r="B8" i="1"/>
  <c r="H44" i="3"/>
  <c r="G102" i="3"/>
  <c r="G67" i="3" s="1"/>
  <c r="M26" i="3"/>
  <c r="M32" i="3"/>
  <c r="N23" i="3" s="1"/>
  <c r="F77" i="3"/>
  <c r="F78" i="3" s="1"/>
  <c r="F80" i="3" s="1"/>
  <c r="F79" i="3"/>
  <c r="G76" i="3" s="1"/>
  <c r="M27" i="3"/>
  <c r="M33" i="3" s="1"/>
  <c r="N24" i="3" s="1"/>
  <c r="H65" i="3"/>
  <c r="H62" i="3"/>
  <c r="H61" i="3"/>
  <c r="H63" i="3" s="1"/>
  <c r="G74" i="3" l="1"/>
  <c r="G75" i="3" s="1"/>
  <c r="G79" i="3" s="1"/>
  <c r="H76" i="3" s="1"/>
  <c r="G89" i="3"/>
  <c r="B29" i="1"/>
  <c r="N27" i="3"/>
  <c r="N33" i="3"/>
  <c r="O24" i="3" s="1"/>
  <c r="D28" i="1"/>
  <c r="F82" i="3"/>
  <c r="F81" i="3"/>
  <c r="H88" i="3"/>
  <c r="H49" i="3"/>
  <c r="H50" i="3" s="1"/>
  <c r="H53" i="3"/>
  <c r="I56" i="3"/>
  <c r="I60" i="3" s="1"/>
  <c r="I47" i="3"/>
  <c r="J22" i="3"/>
  <c r="I34" i="3"/>
  <c r="I59" i="3"/>
  <c r="J35" i="3"/>
  <c r="J39" i="3" s="1"/>
  <c r="H64" i="3"/>
  <c r="H100" i="3"/>
  <c r="H103" i="3" s="1"/>
  <c r="N26" i="3"/>
  <c r="N32" i="3" s="1"/>
  <c r="O23" i="3" s="1"/>
  <c r="K66" i="3"/>
  <c r="L95" i="3"/>
  <c r="C29" i="1" l="1"/>
  <c r="O26" i="3"/>
  <c r="O32" i="3" s="1"/>
  <c r="P23" i="3" s="1"/>
  <c r="H51" i="3"/>
  <c r="H68" i="3"/>
  <c r="H52" i="3"/>
  <c r="H87" i="3"/>
  <c r="O27" i="3"/>
  <c r="O33" i="3" s="1"/>
  <c r="P24" i="3" s="1"/>
  <c r="I62" i="3"/>
  <c r="I65" i="3"/>
  <c r="I61" i="3"/>
  <c r="I63" i="3" s="1"/>
  <c r="G77" i="3"/>
  <c r="G78" i="3" s="1"/>
  <c r="G80" i="3" s="1"/>
  <c r="I97" i="3"/>
  <c r="I70" i="3"/>
  <c r="I86" i="3"/>
  <c r="I44" i="3"/>
  <c r="I53" i="3" s="1"/>
  <c r="J25" i="3"/>
  <c r="J38" i="3" s="1"/>
  <c r="J40" i="3" s="1"/>
  <c r="H102" i="3"/>
  <c r="H67" i="3" s="1"/>
  <c r="L66" i="3"/>
  <c r="M95" i="3"/>
  <c r="P27" i="3" l="1"/>
  <c r="P33" i="3"/>
  <c r="Q24" i="3" s="1"/>
  <c r="D29" i="1"/>
  <c r="G82" i="3"/>
  <c r="G81" i="3"/>
  <c r="P26" i="3"/>
  <c r="P32" i="3" s="1"/>
  <c r="Q23" i="3" s="1"/>
  <c r="J59" i="3"/>
  <c r="K35" i="3"/>
  <c r="K39" i="3" s="1"/>
  <c r="J31" i="3"/>
  <c r="I64" i="3"/>
  <c r="H89" i="3"/>
  <c r="B30" i="1"/>
  <c r="B9" i="1"/>
  <c r="M66" i="3"/>
  <c r="N95" i="3"/>
  <c r="I100" i="3"/>
  <c r="I103" i="3" s="1"/>
  <c r="H74" i="3"/>
  <c r="I88" i="3"/>
  <c r="I49" i="3"/>
  <c r="I50" i="3" s="1"/>
  <c r="Q26" i="3" l="1"/>
  <c r="Q32" i="3"/>
  <c r="R23" i="3" s="1"/>
  <c r="B10" i="1"/>
  <c r="C30" i="1"/>
  <c r="H75" i="3"/>
  <c r="I102" i="3"/>
  <c r="I67" i="3" s="1"/>
  <c r="N66" i="3"/>
  <c r="O95" i="3"/>
  <c r="J56" i="3"/>
  <c r="J60" i="3" s="1"/>
  <c r="K22" i="3"/>
  <c r="J47" i="3"/>
  <c r="J34" i="3"/>
  <c r="I68" i="3"/>
  <c r="I51" i="3"/>
  <c r="I52" i="3" s="1"/>
  <c r="I87" i="3"/>
  <c r="Q27" i="3"/>
  <c r="Q33" i="3" s="1"/>
  <c r="R24" i="3" s="1"/>
  <c r="R27" i="3" l="1"/>
  <c r="R33" i="3" s="1"/>
  <c r="S24" i="3" s="1"/>
  <c r="J86" i="3"/>
  <c r="J97" i="3"/>
  <c r="J70" i="3"/>
  <c r="J44" i="3"/>
  <c r="H77" i="3"/>
  <c r="H78" i="3" s="1"/>
  <c r="H80" i="3"/>
  <c r="H79" i="3"/>
  <c r="I76" i="3" s="1"/>
  <c r="K25" i="3"/>
  <c r="K38" i="3" s="1"/>
  <c r="K40" i="3" s="1"/>
  <c r="I89" i="3"/>
  <c r="B31" i="1"/>
  <c r="I74" i="3"/>
  <c r="C31" i="1" s="1"/>
  <c r="J65" i="3"/>
  <c r="J62" i="3"/>
  <c r="J61" i="3"/>
  <c r="J63" i="3" s="1"/>
  <c r="R26" i="3"/>
  <c r="R32" i="3"/>
  <c r="S23" i="3" s="1"/>
  <c r="O66" i="3"/>
  <c r="P95" i="3"/>
  <c r="I75" i="3" l="1"/>
  <c r="S27" i="3"/>
  <c r="S33" i="3" s="1"/>
  <c r="T24" i="3" s="1"/>
  <c r="S26" i="3"/>
  <c r="S32" i="3" s="1"/>
  <c r="T23" i="3" s="1"/>
  <c r="I77" i="3"/>
  <c r="I78" i="3" s="1"/>
  <c r="I80" i="3" s="1"/>
  <c r="J88" i="3"/>
  <c r="J49" i="3"/>
  <c r="J50" i="3" s="1"/>
  <c r="J64" i="3"/>
  <c r="K59" i="3"/>
  <c r="L35" i="3"/>
  <c r="L39" i="3" s="1"/>
  <c r="J100" i="3"/>
  <c r="J103" i="3" s="1"/>
  <c r="K31" i="3"/>
  <c r="I79" i="3"/>
  <c r="J76" i="3" s="1"/>
  <c r="J53" i="3"/>
  <c r="D30" i="1"/>
  <c r="B11" i="1"/>
  <c r="H82" i="3"/>
  <c r="H81" i="3"/>
  <c r="P66" i="3"/>
  <c r="Q95" i="3"/>
  <c r="D31" i="1" l="1"/>
  <c r="I82" i="3"/>
  <c r="T26" i="3"/>
  <c r="T32" i="3"/>
  <c r="U23" i="3" s="1"/>
  <c r="T27" i="3"/>
  <c r="T33" i="3" s="1"/>
  <c r="U24" i="3" s="1"/>
  <c r="J68" i="3"/>
  <c r="J51" i="3"/>
  <c r="J52" i="3" s="1"/>
  <c r="J87" i="3"/>
  <c r="Q66" i="3"/>
  <c r="R95" i="3"/>
  <c r="K47" i="3"/>
  <c r="K34" i="3"/>
  <c r="K56" i="3"/>
  <c r="K60" i="3" s="1"/>
  <c r="L22" i="3"/>
  <c r="I81" i="3"/>
  <c r="B12" i="1"/>
  <c r="J102" i="3"/>
  <c r="J67" i="3" s="1"/>
  <c r="U27" i="3" l="1"/>
  <c r="U33" i="3" s="1"/>
  <c r="V24" i="3" s="1"/>
  <c r="K65" i="3"/>
  <c r="K62" i="3"/>
  <c r="K61" i="3"/>
  <c r="K63" i="3" s="1"/>
  <c r="K97" i="3"/>
  <c r="K70" i="3"/>
  <c r="K53" i="3"/>
  <c r="K86" i="3"/>
  <c r="K44" i="3"/>
  <c r="J89" i="3"/>
  <c r="B32" i="1"/>
  <c r="J74" i="3"/>
  <c r="C32" i="1" s="1"/>
  <c r="R66" i="3"/>
  <c r="S95" i="3"/>
  <c r="U26" i="3"/>
  <c r="U32" i="3"/>
  <c r="V23" i="3" s="1"/>
  <c r="L25" i="3"/>
  <c r="L38" i="3" s="1"/>
  <c r="L40" i="3" s="1"/>
  <c r="V27" i="3" l="1"/>
  <c r="V33" i="3" s="1"/>
  <c r="W24" i="3" s="1"/>
  <c r="L59" i="3"/>
  <c r="M35" i="3"/>
  <c r="M39" i="3" s="1"/>
  <c r="L31" i="3"/>
  <c r="K100" i="3"/>
  <c r="K103" i="3" s="1"/>
  <c r="J75" i="3"/>
  <c r="K64" i="3"/>
  <c r="V26" i="3"/>
  <c r="V32" i="3"/>
  <c r="W23" i="3" s="1"/>
  <c r="S66" i="3"/>
  <c r="T95" i="3"/>
  <c r="K88" i="3"/>
  <c r="K49" i="3"/>
  <c r="K50" i="3" s="1"/>
  <c r="W27" i="3" l="1"/>
  <c r="W33" i="3" s="1"/>
  <c r="X24" i="3" s="1"/>
  <c r="T66" i="3"/>
  <c r="U95" i="3"/>
  <c r="K102" i="3"/>
  <c r="K67" i="3" s="1"/>
  <c r="K74" i="3" s="1"/>
  <c r="C33" i="1" s="1"/>
  <c r="W26" i="3"/>
  <c r="W32" i="3" s="1"/>
  <c r="X23" i="3" s="1"/>
  <c r="L56" i="3"/>
  <c r="L60" i="3" s="1"/>
  <c r="L47" i="3"/>
  <c r="L34" i="3"/>
  <c r="M22" i="3"/>
  <c r="K51" i="3"/>
  <c r="K52" i="3" s="1"/>
  <c r="K68" i="3"/>
  <c r="K87" i="3"/>
  <c r="J77" i="3"/>
  <c r="J78" i="3" s="1"/>
  <c r="J80" i="3" s="1"/>
  <c r="J79" i="3"/>
  <c r="K76" i="3" s="1"/>
  <c r="D32" i="1" l="1"/>
  <c r="J82" i="3"/>
  <c r="J81" i="3"/>
  <c r="X26" i="3"/>
  <c r="X32" i="3" s="1"/>
  <c r="Y23" i="3" s="1"/>
  <c r="K75" i="3"/>
  <c r="K89" i="3"/>
  <c r="B33" i="1"/>
  <c r="X27" i="3"/>
  <c r="X33" i="3" s="1"/>
  <c r="Y24" i="3" s="1"/>
  <c r="L70" i="3"/>
  <c r="L97" i="3"/>
  <c r="L86" i="3"/>
  <c r="L53" i="3"/>
  <c r="L44" i="3"/>
  <c r="L62" i="3"/>
  <c r="L65" i="3"/>
  <c r="L61" i="3"/>
  <c r="M25" i="3"/>
  <c r="M38" i="3" s="1"/>
  <c r="M40" i="3" s="1"/>
  <c r="U66" i="3"/>
  <c r="V95" i="3"/>
  <c r="Y27" i="3" l="1"/>
  <c r="Y33" i="3" s="1"/>
  <c r="Z24" i="3" s="1"/>
  <c r="Y26" i="3"/>
  <c r="Y32" i="3"/>
  <c r="Z23" i="3" s="1"/>
  <c r="M59" i="3"/>
  <c r="N35" i="3"/>
  <c r="N39" i="3" s="1"/>
  <c r="K77" i="3"/>
  <c r="K78" i="3" s="1"/>
  <c r="K80" i="3" s="1"/>
  <c r="M31" i="3"/>
  <c r="L100" i="3"/>
  <c r="L103" i="3" s="1"/>
  <c r="L63" i="3"/>
  <c r="K79" i="3"/>
  <c r="L76" i="3" s="1"/>
  <c r="V66" i="3"/>
  <c r="W95" i="3"/>
  <c r="L88" i="3"/>
  <c r="L49" i="3"/>
  <c r="L50" i="3" s="1"/>
  <c r="D33" i="1" l="1"/>
  <c r="K82" i="3"/>
  <c r="K81" i="3"/>
  <c r="Z27" i="3"/>
  <c r="Z33" i="3" s="1"/>
  <c r="W66" i="3"/>
  <c r="X95" i="3"/>
  <c r="L64" i="3"/>
  <c r="L102" i="3"/>
  <c r="L67" i="3" s="1"/>
  <c r="Z26" i="3"/>
  <c r="Z32" i="3"/>
  <c r="L68" i="3"/>
  <c r="L51" i="3"/>
  <c r="L52" i="3" s="1"/>
  <c r="L87" i="3"/>
  <c r="M56" i="3"/>
  <c r="M60" i="3" s="1"/>
  <c r="M47" i="3"/>
  <c r="N22" i="3"/>
  <c r="M34" i="3"/>
  <c r="L74" i="3" l="1"/>
  <c r="C34" i="1" s="1"/>
  <c r="L75" i="3"/>
  <c r="L89" i="3"/>
  <c r="B34" i="1"/>
  <c r="X66" i="3"/>
  <c r="Y95" i="3"/>
  <c r="M65" i="3"/>
  <c r="M61" i="3"/>
  <c r="M63" i="3" s="1"/>
  <c r="M62" i="3"/>
  <c r="M97" i="3"/>
  <c r="M86" i="3"/>
  <c r="M70" i="3"/>
  <c r="M44" i="3"/>
  <c r="N25" i="3"/>
  <c r="N38" i="3" s="1"/>
  <c r="N40" i="3" s="1"/>
  <c r="N31" i="3"/>
  <c r="N47" i="3" l="1"/>
  <c r="N56" i="3"/>
  <c r="N60" i="3" s="1"/>
  <c r="N34" i="3"/>
  <c r="O22" i="3"/>
  <c r="M64" i="3"/>
  <c r="N59" i="3"/>
  <c r="O35" i="3"/>
  <c r="O39" i="3" s="1"/>
  <c r="M88" i="3"/>
  <c r="M49" i="3"/>
  <c r="M50" i="3" s="1"/>
  <c r="Y66" i="3"/>
  <c r="Z95" i="3"/>
  <c r="Z66" i="3" s="1"/>
  <c r="M53" i="3"/>
  <c r="M103" i="3"/>
  <c r="M102" i="3"/>
  <c r="M67" i="3" s="1"/>
  <c r="M100" i="3"/>
  <c r="L77" i="3"/>
  <c r="L78" i="3" s="1"/>
  <c r="L80" i="3" s="1"/>
  <c r="L79" i="3"/>
  <c r="M76" i="3" s="1"/>
  <c r="D34" i="1" l="1"/>
  <c r="L82" i="3"/>
  <c r="L81" i="3"/>
  <c r="O25" i="3"/>
  <c r="O38" i="3" s="1"/>
  <c r="O40" i="3" s="1"/>
  <c r="O31" i="3"/>
  <c r="N97" i="3"/>
  <c r="N86" i="3"/>
  <c r="N70" i="3"/>
  <c r="N53" i="3"/>
  <c r="C8" i="1"/>
  <c r="N44" i="3"/>
  <c r="M68" i="3"/>
  <c r="M74" i="3" s="1"/>
  <c r="C35" i="1" s="1"/>
  <c r="M51" i="3"/>
  <c r="M52" i="3" s="1"/>
  <c r="M87" i="3"/>
  <c r="N65" i="3"/>
  <c r="N61" i="3"/>
  <c r="N63" i="3" s="1"/>
  <c r="N62" i="3"/>
  <c r="N64" i="3" l="1"/>
  <c r="N100" i="3"/>
  <c r="N103" i="3" s="1"/>
  <c r="N88" i="3"/>
  <c r="N49" i="3"/>
  <c r="N50" i="3" s="1"/>
  <c r="O59" i="3"/>
  <c r="P35" i="3"/>
  <c r="P39" i="3" s="1"/>
  <c r="M89" i="3"/>
  <c r="M75" i="3"/>
  <c r="B35" i="1"/>
  <c r="O47" i="3"/>
  <c r="O56" i="3"/>
  <c r="O60" i="3" s="1"/>
  <c r="O34" i="3"/>
  <c r="P22" i="3"/>
  <c r="M77" i="3" l="1"/>
  <c r="M78" i="3" s="1"/>
  <c r="M80" i="3" s="1"/>
  <c r="M79" i="3"/>
  <c r="N76" i="3" s="1"/>
  <c r="N68" i="3"/>
  <c r="N51" i="3"/>
  <c r="N52" i="3"/>
  <c r="N87" i="3"/>
  <c r="N102" i="3"/>
  <c r="N67" i="3" s="1"/>
  <c r="N74" i="3" s="1"/>
  <c r="P25" i="3"/>
  <c r="P38" i="3" s="1"/>
  <c r="P40" i="3" s="1"/>
  <c r="P31" i="3"/>
  <c r="O97" i="3"/>
  <c r="O86" i="3"/>
  <c r="O70" i="3"/>
  <c r="O44" i="3"/>
  <c r="O65" i="3"/>
  <c r="O61" i="3"/>
  <c r="O62" i="3"/>
  <c r="C10" i="1" l="1"/>
  <c r="C36" i="1"/>
  <c r="B19" i="1"/>
  <c r="D35" i="1"/>
  <c r="M82" i="3"/>
  <c r="M81" i="3"/>
  <c r="P47" i="3"/>
  <c r="P56" i="3"/>
  <c r="P60" i="3" s="1"/>
  <c r="P34" i="3"/>
  <c r="Q22" i="3"/>
  <c r="O88" i="3"/>
  <c r="O49" i="3"/>
  <c r="O50" i="3" s="1"/>
  <c r="O53" i="3"/>
  <c r="N89" i="3"/>
  <c r="N75" i="3"/>
  <c r="N79" i="3" s="1"/>
  <c r="O76" i="3" s="1"/>
  <c r="B36" i="1"/>
  <c r="C9" i="1"/>
  <c r="B18" i="1"/>
  <c r="O100" i="3"/>
  <c r="O103" i="3" s="1"/>
  <c r="O63" i="3"/>
  <c r="P59" i="3"/>
  <c r="Q35" i="3"/>
  <c r="Q39" i="3" s="1"/>
  <c r="O102" i="3" l="1"/>
  <c r="O67" i="3" s="1"/>
  <c r="O68" i="3"/>
  <c r="O51" i="3"/>
  <c r="O52" i="3" s="1"/>
  <c r="O87" i="3"/>
  <c r="Q25" i="3"/>
  <c r="Q38" i="3" s="1"/>
  <c r="Q40" i="3" s="1"/>
  <c r="Q31" i="3"/>
  <c r="P86" i="3"/>
  <c r="P97" i="3"/>
  <c r="P70" i="3"/>
  <c r="P44" i="3"/>
  <c r="N77" i="3"/>
  <c r="N78" i="3" s="1"/>
  <c r="N80" i="3" s="1"/>
  <c r="O64" i="3"/>
  <c r="O74" i="3" s="1"/>
  <c r="P65" i="3"/>
  <c r="P61" i="3"/>
  <c r="P62" i="3"/>
  <c r="C37" i="1" l="1"/>
  <c r="D36" i="1"/>
  <c r="C11" i="1"/>
  <c r="B20" i="1"/>
  <c r="N82" i="3"/>
  <c r="N81" i="3"/>
  <c r="P49" i="3"/>
  <c r="P50" i="3" s="1"/>
  <c r="P88" i="3"/>
  <c r="P63" i="3"/>
  <c r="P53" i="3"/>
  <c r="O89" i="3"/>
  <c r="O75" i="3"/>
  <c r="B37" i="1"/>
  <c r="P100" i="3"/>
  <c r="P103" i="3" s="1"/>
  <c r="Q56" i="3"/>
  <c r="Q60" i="3" s="1"/>
  <c r="Q47" i="3"/>
  <c r="R22" i="3"/>
  <c r="Q34" i="3"/>
  <c r="Q59" i="3"/>
  <c r="R35" i="3"/>
  <c r="R39" i="3" s="1"/>
  <c r="Q86" i="3" l="1"/>
  <c r="Q97" i="3"/>
  <c r="Q70" i="3"/>
  <c r="Q44" i="3"/>
  <c r="P68" i="3"/>
  <c r="P51" i="3"/>
  <c r="P52" i="3"/>
  <c r="P87" i="3"/>
  <c r="Q65" i="3"/>
  <c r="Q61" i="3"/>
  <c r="Q62" i="3"/>
  <c r="R25" i="3"/>
  <c r="R38" i="3" s="1"/>
  <c r="R40" i="3" s="1"/>
  <c r="R31" i="3"/>
  <c r="C12" i="1"/>
  <c r="O77" i="3"/>
  <c r="O78" i="3" s="1"/>
  <c r="O80" i="3" s="1"/>
  <c r="O79" i="3"/>
  <c r="P76" i="3" s="1"/>
  <c r="P102" i="3"/>
  <c r="P67" i="3" s="1"/>
  <c r="P64" i="3"/>
  <c r="P74" i="3" l="1"/>
  <c r="D37" i="1"/>
  <c r="O82" i="3"/>
  <c r="O81" i="3"/>
  <c r="C38" i="1"/>
  <c r="P75" i="3"/>
  <c r="P89" i="3"/>
  <c r="B38" i="1"/>
  <c r="R56" i="3"/>
  <c r="R60" i="3" s="1"/>
  <c r="S22" i="3"/>
  <c r="R34" i="3"/>
  <c r="R47" i="3"/>
  <c r="R59" i="3"/>
  <c r="S35" i="3"/>
  <c r="S39" i="3" s="1"/>
  <c r="Q49" i="3"/>
  <c r="Q50" i="3" s="1"/>
  <c r="Q88" i="3"/>
  <c r="Q53" i="3"/>
  <c r="Q63" i="3"/>
  <c r="Q103" i="3"/>
  <c r="Q102" i="3"/>
  <c r="Q67" i="3" s="1"/>
  <c r="Q100" i="3"/>
  <c r="Q64" i="3" l="1"/>
  <c r="R97" i="3"/>
  <c r="R86" i="3"/>
  <c r="R70" i="3"/>
  <c r="R44" i="3"/>
  <c r="P77" i="3"/>
  <c r="P78" i="3" s="1"/>
  <c r="P80" i="3"/>
  <c r="S25" i="3"/>
  <c r="S38" i="3" s="1"/>
  <c r="S40" i="3" s="1"/>
  <c r="P79" i="3"/>
  <c r="Q76" i="3" s="1"/>
  <c r="R65" i="3"/>
  <c r="R62" i="3"/>
  <c r="R61" i="3"/>
  <c r="R63" i="3" s="1"/>
  <c r="Q68" i="3"/>
  <c r="Q51" i="3"/>
  <c r="Q52" i="3"/>
  <c r="Q87" i="3"/>
  <c r="Q74" i="3" l="1"/>
  <c r="Q75" i="3" s="1"/>
  <c r="Q79" i="3" s="1"/>
  <c r="R76" i="3" s="1"/>
  <c r="C39" i="1"/>
  <c r="R64" i="3"/>
  <c r="R88" i="3"/>
  <c r="R49" i="3"/>
  <c r="R50" i="3" s="1"/>
  <c r="R53" i="3"/>
  <c r="Q89" i="3"/>
  <c r="B39" i="1"/>
  <c r="S59" i="3"/>
  <c r="T35" i="3"/>
  <c r="T39" i="3" s="1"/>
  <c r="R103" i="3"/>
  <c r="R100" i="3"/>
  <c r="R102" i="3" s="1"/>
  <c r="R67" i="3" s="1"/>
  <c r="S31" i="3"/>
  <c r="D38" i="1"/>
  <c r="P82" i="3"/>
  <c r="P81" i="3"/>
  <c r="R51" i="3" l="1"/>
  <c r="R52" i="3" s="1"/>
  <c r="R68" i="3"/>
  <c r="R74" i="3" s="1"/>
  <c r="R87" i="3"/>
  <c r="S47" i="3"/>
  <c r="S34" i="3"/>
  <c r="S56" i="3"/>
  <c r="S60" i="3" s="1"/>
  <c r="T22" i="3"/>
  <c r="Q77" i="3"/>
  <c r="Q78" i="3" s="1"/>
  <c r="Q80" i="3" s="1"/>
  <c r="R75" i="3" l="1"/>
  <c r="R89" i="3"/>
  <c r="B40" i="1"/>
  <c r="C40" i="1"/>
  <c r="D39" i="1"/>
  <c r="Q82" i="3"/>
  <c r="T25" i="3"/>
  <c r="T38" i="3" s="1"/>
  <c r="T40" i="3" s="1"/>
  <c r="S65" i="3"/>
  <c r="S62" i="3"/>
  <c r="S61" i="3"/>
  <c r="Q81" i="3"/>
  <c r="S97" i="3"/>
  <c r="S86" i="3"/>
  <c r="S70" i="3"/>
  <c r="S44" i="3"/>
  <c r="S88" i="3" l="1"/>
  <c r="S49" i="3"/>
  <c r="S50" i="3" s="1"/>
  <c r="S53" i="3"/>
  <c r="T59" i="3"/>
  <c r="U35" i="3"/>
  <c r="U39" i="3" s="1"/>
  <c r="T31" i="3"/>
  <c r="R77" i="3"/>
  <c r="R78" i="3" s="1"/>
  <c r="R80" i="3" s="1"/>
  <c r="R79" i="3"/>
  <c r="S76" i="3" s="1"/>
  <c r="S100" i="3"/>
  <c r="S103" i="3" s="1"/>
  <c r="S63" i="3"/>
  <c r="D40" i="1" l="1"/>
  <c r="R82" i="3"/>
  <c r="S64" i="3"/>
  <c r="T56" i="3"/>
  <c r="T60" i="3" s="1"/>
  <c r="T47" i="3"/>
  <c r="T34" i="3"/>
  <c r="U22" i="3"/>
  <c r="R81" i="3"/>
  <c r="S102" i="3"/>
  <c r="S67" i="3" s="1"/>
  <c r="S68" i="3"/>
  <c r="S74" i="3" s="1"/>
  <c r="S51" i="3"/>
  <c r="S52" i="3" s="1"/>
  <c r="S87" i="3"/>
  <c r="S89" i="3" l="1"/>
  <c r="S75" i="3"/>
  <c r="B41" i="1"/>
  <c r="C41" i="1"/>
  <c r="T65" i="3"/>
  <c r="T61" i="3"/>
  <c r="T63" i="3" s="1"/>
  <c r="T62" i="3"/>
  <c r="U25" i="3"/>
  <c r="U38" i="3" s="1"/>
  <c r="U40" i="3" s="1"/>
  <c r="T97" i="3"/>
  <c r="T70" i="3"/>
  <c r="T53" i="3"/>
  <c r="T86" i="3"/>
  <c r="T44" i="3"/>
  <c r="T100" i="3" l="1"/>
  <c r="T103" i="3" s="1"/>
  <c r="U59" i="3"/>
  <c r="V35" i="3"/>
  <c r="V39" i="3" s="1"/>
  <c r="U31" i="3"/>
  <c r="S77" i="3"/>
  <c r="S78" i="3" s="1"/>
  <c r="S80" i="3" s="1"/>
  <c r="S79" i="3"/>
  <c r="T76" i="3" s="1"/>
  <c r="T88" i="3"/>
  <c r="T49" i="3"/>
  <c r="T50" i="3" s="1"/>
  <c r="T64" i="3"/>
  <c r="D41" i="1" l="1"/>
  <c r="S82" i="3"/>
  <c r="S81" i="3"/>
  <c r="T68" i="3"/>
  <c r="T74" i="3" s="1"/>
  <c r="C42" i="1" s="1"/>
  <c r="T51" i="3"/>
  <c r="T52" i="3" s="1"/>
  <c r="T87" i="3"/>
  <c r="U47" i="3"/>
  <c r="U56" i="3"/>
  <c r="U60" i="3" s="1"/>
  <c r="U34" i="3"/>
  <c r="V22" i="3"/>
  <c r="T102" i="3"/>
  <c r="T67" i="3" s="1"/>
  <c r="T89" i="3" l="1"/>
  <c r="T75" i="3"/>
  <c r="B42" i="1"/>
  <c r="V25" i="3"/>
  <c r="V38" i="3" s="1"/>
  <c r="V40" i="3" s="1"/>
  <c r="V31" i="3"/>
  <c r="U97" i="3"/>
  <c r="U86" i="3"/>
  <c r="U70" i="3"/>
  <c r="U53" i="3"/>
  <c r="U44" i="3"/>
  <c r="U62" i="3"/>
  <c r="U61" i="3"/>
  <c r="U63" i="3" s="1"/>
  <c r="U65" i="3"/>
  <c r="U100" i="3" l="1"/>
  <c r="U102" i="3" s="1"/>
  <c r="U67" i="3" s="1"/>
  <c r="U64" i="3"/>
  <c r="V56" i="3"/>
  <c r="V60" i="3" s="1"/>
  <c r="V47" i="3"/>
  <c r="V34" i="3"/>
  <c r="W22" i="3"/>
  <c r="V59" i="3"/>
  <c r="W35" i="3"/>
  <c r="W39" i="3" s="1"/>
  <c r="U88" i="3"/>
  <c r="U49" i="3"/>
  <c r="U50" i="3" s="1"/>
  <c r="T77" i="3"/>
  <c r="T78" i="3" s="1"/>
  <c r="T80" i="3" s="1"/>
  <c r="T79" i="3"/>
  <c r="U76" i="3" s="1"/>
  <c r="V62" i="3" l="1"/>
  <c r="V65" i="3"/>
  <c r="V61" i="3"/>
  <c r="V63" i="3" s="1"/>
  <c r="U68" i="3"/>
  <c r="U74" i="3" s="1"/>
  <c r="C43" i="1" s="1"/>
  <c r="U51" i="3"/>
  <c r="U52" i="3" s="1"/>
  <c r="U87" i="3"/>
  <c r="V97" i="3"/>
  <c r="V86" i="3"/>
  <c r="V70" i="3"/>
  <c r="V44" i="3"/>
  <c r="U103" i="3"/>
  <c r="D42" i="1"/>
  <c r="T81" i="3"/>
  <c r="T82" i="3"/>
  <c r="W25" i="3"/>
  <c r="W38" i="3" s="1"/>
  <c r="W40" i="3" s="1"/>
  <c r="W31" i="3"/>
  <c r="U89" i="3" l="1"/>
  <c r="U75" i="3"/>
  <c r="B43" i="1"/>
  <c r="V88" i="3"/>
  <c r="V49" i="3"/>
  <c r="V50" i="3" s="1"/>
  <c r="W47" i="3"/>
  <c r="W56" i="3"/>
  <c r="W60" i="3" s="1"/>
  <c r="W34" i="3"/>
  <c r="X22" i="3"/>
  <c r="W59" i="3"/>
  <c r="X35" i="3"/>
  <c r="X39" i="3" s="1"/>
  <c r="V53" i="3"/>
  <c r="V64" i="3"/>
  <c r="V100" i="3"/>
  <c r="V103" i="3" s="1"/>
  <c r="V68" i="3" l="1"/>
  <c r="V51" i="3"/>
  <c r="V52" i="3"/>
  <c r="V87" i="3"/>
  <c r="V102" i="3"/>
  <c r="V67" i="3" s="1"/>
  <c r="V74" i="3" s="1"/>
  <c r="C44" i="1" s="1"/>
  <c r="X25" i="3"/>
  <c r="X38" i="3" s="1"/>
  <c r="X40" i="3" s="1"/>
  <c r="U77" i="3"/>
  <c r="U78" i="3" s="1"/>
  <c r="U80" i="3" s="1"/>
  <c r="U79" i="3"/>
  <c r="V76" i="3" s="1"/>
  <c r="W97" i="3"/>
  <c r="W86" i="3"/>
  <c r="W70" i="3"/>
  <c r="W53" i="3"/>
  <c r="W44" i="3"/>
  <c r="W65" i="3"/>
  <c r="W61" i="3"/>
  <c r="W62" i="3"/>
  <c r="D43" i="1" l="1"/>
  <c r="U81" i="3"/>
  <c r="U82" i="3"/>
  <c r="W100" i="3"/>
  <c r="W103" i="3" s="1"/>
  <c r="V89" i="3"/>
  <c r="V75" i="3"/>
  <c r="V79" i="3" s="1"/>
  <c r="W76" i="3" s="1"/>
  <c r="B44" i="1"/>
  <c r="X59" i="3"/>
  <c r="Y35" i="3"/>
  <c r="Y39" i="3" s="1"/>
  <c r="W63" i="3"/>
  <c r="W88" i="3"/>
  <c r="W49" i="3"/>
  <c r="W50" i="3" s="1"/>
  <c r="X31" i="3"/>
  <c r="W68" i="3" l="1"/>
  <c r="W51" i="3"/>
  <c r="W52" i="3" s="1"/>
  <c r="W87" i="3"/>
  <c r="W64" i="3"/>
  <c r="W102" i="3"/>
  <c r="W67" i="3" s="1"/>
  <c r="X47" i="3"/>
  <c r="X56" i="3"/>
  <c r="X60" i="3" s="1"/>
  <c r="X34" i="3"/>
  <c r="Y22" i="3"/>
  <c r="V77" i="3"/>
  <c r="V78" i="3" s="1"/>
  <c r="V80" i="3" s="1"/>
  <c r="W74" i="3" l="1"/>
  <c r="C45" i="1" s="1"/>
  <c r="D44" i="1"/>
  <c r="V82" i="3"/>
  <c r="V81" i="3"/>
  <c r="W89" i="3"/>
  <c r="W75" i="3"/>
  <c r="B45" i="1"/>
  <c r="Y25" i="3"/>
  <c r="Y38" i="3" s="1"/>
  <c r="Y40" i="3" s="1"/>
  <c r="Y31" i="3"/>
  <c r="X97" i="3"/>
  <c r="X70" i="3"/>
  <c r="X86" i="3"/>
  <c r="X44" i="3"/>
  <c r="X65" i="3"/>
  <c r="X61" i="3"/>
  <c r="X62" i="3"/>
  <c r="Y56" i="3" l="1"/>
  <c r="Y60" i="3" s="1"/>
  <c r="Y34" i="3"/>
  <c r="Y47" i="3"/>
  <c r="Z22" i="3"/>
  <c r="X63" i="3"/>
  <c r="Y59" i="3"/>
  <c r="Z35" i="3"/>
  <c r="Z39" i="3" s="1"/>
  <c r="X88" i="3"/>
  <c r="X49" i="3"/>
  <c r="X50" i="3" s="1"/>
  <c r="W77" i="3"/>
  <c r="W78" i="3" s="1"/>
  <c r="W80" i="3" s="1"/>
  <c r="W79" i="3"/>
  <c r="X76" i="3" s="1"/>
  <c r="X53" i="3"/>
  <c r="X103" i="3"/>
  <c r="X102" i="3"/>
  <c r="X67" i="3" s="1"/>
  <c r="X100" i="3"/>
  <c r="D45" i="1" l="1"/>
  <c r="W82" i="3"/>
  <c r="W81" i="3"/>
  <c r="X64" i="3"/>
  <c r="X74" i="3" s="1"/>
  <c r="C46" i="1" s="1"/>
  <c r="Z25" i="3"/>
  <c r="Z38" i="3" s="1"/>
  <c r="Z40" i="3" s="1"/>
  <c r="Z59" i="3" s="1"/>
  <c r="Z31" i="3"/>
  <c r="Y97" i="3"/>
  <c r="Y70" i="3"/>
  <c r="Y86" i="3"/>
  <c r="Y44" i="3"/>
  <c r="X68" i="3"/>
  <c r="X51" i="3"/>
  <c r="X52" i="3" s="1"/>
  <c r="X87" i="3"/>
  <c r="Y62" i="3"/>
  <c r="Y61" i="3"/>
  <c r="Y63" i="3" s="1"/>
  <c r="Y65" i="3"/>
  <c r="Y49" i="3" l="1"/>
  <c r="Y50" i="3" s="1"/>
  <c r="Y88" i="3"/>
  <c r="Y100" i="3"/>
  <c r="Y103" i="3" s="1"/>
  <c r="X75" i="3"/>
  <c r="X89" i="3"/>
  <c r="B46" i="1"/>
  <c r="Z56" i="3"/>
  <c r="Z60" i="3" s="1"/>
  <c r="Z47" i="3"/>
  <c r="Z34" i="3"/>
  <c r="Y53" i="3"/>
  <c r="Y64" i="3"/>
  <c r="X77" i="3" l="1"/>
  <c r="X78" i="3" s="1"/>
  <c r="X80" i="3" s="1"/>
  <c r="X79" i="3"/>
  <c r="Y76" i="3" s="1"/>
  <c r="Z97" i="3"/>
  <c r="Z53" i="3"/>
  <c r="Z86" i="3"/>
  <c r="Z70" i="3"/>
  <c r="D8" i="1"/>
  <c r="Z44" i="3"/>
  <c r="Y102" i="3"/>
  <c r="Y67" i="3" s="1"/>
  <c r="Z65" i="3"/>
  <c r="Z62" i="3"/>
  <c r="Z61" i="3"/>
  <c r="Z63" i="3" s="1"/>
  <c r="Y51" i="3"/>
  <c r="Y52" i="3" s="1"/>
  <c r="Y68" i="3"/>
  <c r="Y87" i="3"/>
  <c r="Y74" i="3" l="1"/>
  <c r="C47" i="1" s="1"/>
  <c r="Y89" i="3"/>
  <c r="Y75" i="3"/>
  <c r="Y79" i="3" s="1"/>
  <c r="Z76" i="3" s="1"/>
  <c r="B47" i="1"/>
  <c r="Z64" i="3"/>
  <c r="Z100" i="3"/>
  <c r="Z103" i="3" s="1"/>
  <c r="Z88" i="3"/>
  <c r="Z49" i="3"/>
  <c r="Z50" i="3" s="1"/>
  <c r="D46" i="1"/>
  <c r="X81" i="3"/>
  <c r="X82" i="3"/>
  <c r="Z102" i="3" l="1"/>
  <c r="Z67" i="3" s="1"/>
  <c r="Z68" i="3"/>
  <c r="Z74" i="3" s="1"/>
  <c r="Z51" i="3"/>
  <c r="Z52" i="3" s="1"/>
  <c r="Z87" i="3"/>
  <c r="Y77" i="3"/>
  <c r="Y78" i="3" s="1"/>
  <c r="Y80" i="3"/>
  <c r="Z75" i="3" l="1"/>
  <c r="Z89" i="3"/>
  <c r="D9" i="1"/>
  <c r="B48" i="1"/>
  <c r="C18" i="1"/>
  <c r="D18" i="1" s="1"/>
  <c r="D47" i="1"/>
  <c r="Y82" i="3"/>
  <c r="Y81" i="3"/>
  <c r="D10" i="1"/>
  <c r="C48" i="1"/>
  <c r="C19" i="1"/>
  <c r="D19" i="1" s="1"/>
  <c r="Z77" i="3" l="1"/>
  <c r="Z78" i="3" s="1"/>
  <c r="Z80" i="3" s="1"/>
  <c r="Z79" i="3"/>
  <c r="D48" i="1" l="1"/>
  <c r="D11" i="1"/>
  <c r="C20" i="1"/>
  <c r="D20" i="1" s="1"/>
  <c r="Z82" i="3"/>
  <c r="Z81" i="3"/>
  <c r="D12" i="1" s="1"/>
</calcChain>
</file>

<file path=xl/sharedStrings.xml><?xml version="1.0" encoding="utf-8"?>
<sst xmlns="http://schemas.openxmlformats.org/spreadsheetml/2006/main" count="834" uniqueCount="462">
  <si>
    <r>
      <rPr>
        <b/>
        <sz val="15"/>
        <color rgb="FF17324D"/>
        <rFont val="Linux Libertine G"/>
        <family val="2"/>
      </rPr>
      <t xml:space="preserve">온라인 강의 요약 서비스 </t>
    </r>
    <r>
      <rPr>
        <b/>
        <sz val="15"/>
        <color rgb="FF17324D"/>
        <rFont val="Arial"/>
        <family val="2"/>
      </rPr>
      <t>· 24</t>
    </r>
    <r>
      <rPr>
        <b/>
        <sz val="15"/>
        <color rgb="FF17324D"/>
        <rFont val="Linux Libertine G"/>
        <family val="2"/>
      </rPr>
      <t>개월 사업모델</t>
    </r>
  </si>
  <si>
    <r>
      <rPr>
        <i/>
        <sz val="10"/>
        <color rgb="FF64748B"/>
        <rFont val="Linux Libertine G"/>
        <family val="2"/>
      </rPr>
      <t>노란 셀을 바꾸면 월별 전망과 아래 차트가 함께 갱신됩니다</t>
    </r>
    <r>
      <rPr>
        <i/>
        <sz val="10"/>
        <color rgb="FF64748B"/>
        <rFont val="Arial"/>
        <family val="2"/>
      </rPr>
      <t xml:space="preserve">. </t>
    </r>
    <r>
      <rPr>
        <i/>
        <sz val="10"/>
        <color rgb="FF64748B"/>
        <rFont val="Linux Libertine G"/>
        <family val="2"/>
      </rPr>
      <t>숫자는 실측 매출이 아닌 계획 시나리오입니다</t>
    </r>
    <r>
      <rPr>
        <i/>
        <sz val="10"/>
        <color rgb="FF64748B"/>
        <rFont val="Arial"/>
        <family val="2"/>
      </rPr>
      <t>.</t>
    </r>
  </si>
  <si>
    <t>지표</t>
  </si>
  <si>
    <t>M6</t>
  </si>
  <si>
    <t>M12</t>
  </si>
  <si>
    <t>M24</t>
  </si>
  <si>
    <t>월 신규 가입</t>
  </si>
  <si>
    <t>기말 유료 고객</t>
  </si>
  <si>
    <r>
      <rPr>
        <sz val="10"/>
        <color rgb="FF243447"/>
        <rFont val="Linux Libertine G"/>
        <family val="2"/>
      </rPr>
      <t xml:space="preserve">월 순매출 </t>
    </r>
    <r>
      <rPr>
        <sz val="10"/>
        <color rgb="FF243447"/>
        <rFont val="Arial"/>
        <family val="2"/>
      </rPr>
      <t xml:space="preserve">(VAT </t>
    </r>
    <r>
      <rPr>
        <sz val="10"/>
        <color rgb="FF243447"/>
        <rFont val="Linux Libertine G"/>
        <family val="2"/>
      </rPr>
      <t>제외</t>
    </r>
    <r>
      <rPr>
        <sz val="10"/>
        <color rgb="FF243447"/>
        <rFont val="Arial"/>
        <family val="2"/>
      </rPr>
      <t>)</t>
    </r>
  </si>
  <si>
    <t>월 전체 비용</t>
  </si>
  <si>
    <t>월 순이익</t>
  </si>
  <si>
    <t>누적 순이익</t>
  </si>
  <si>
    <t>추천 신규 가입</t>
  </si>
  <si>
    <t>기간 합계</t>
  </si>
  <si>
    <r>
      <rPr>
        <b/>
        <sz val="10"/>
        <color rgb="FFFFFFFF"/>
        <rFont val="Arial"/>
        <family val="2"/>
      </rPr>
      <t>1~12</t>
    </r>
    <r>
      <rPr>
        <b/>
        <sz val="10"/>
        <color rgb="FFFFFFFF"/>
        <rFont val="Linux Libertine G"/>
        <family val="2"/>
      </rPr>
      <t>개월</t>
    </r>
  </si>
  <si>
    <r>
      <rPr>
        <b/>
        <sz val="10"/>
        <color rgb="FFFFFFFF"/>
        <rFont val="Arial"/>
        <family val="2"/>
      </rPr>
      <t>13~24</t>
    </r>
    <r>
      <rPr>
        <b/>
        <sz val="10"/>
        <color rgb="FFFFFFFF"/>
        <rFont val="Linux Libertine G"/>
        <family val="2"/>
      </rPr>
      <t>개월</t>
    </r>
  </si>
  <si>
    <r>
      <rPr>
        <b/>
        <sz val="10"/>
        <color rgb="FFFFFFFF"/>
        <rFont val="Arial"/>
        <family val="2"/>
      </rPr>
      <t>24</t>
    </r>
    <r>
      <rPr>
        <b/>
        <sz val="10"/>
        <color rgb="FFFFFFFF"/>
        <rFont val="Linux Libertine G"/>
        <family val="2"/>
      </rPr>
      <t>개월 합계</t>
    </r>
  </si>
  <si>
    <t>신규 가입</t>
  </si>
  <si>
    <t>순매출</t>
  </si>
  <si>
    <t>전체 비용</t>
  </si>
  <si>
    <t>순이익</t>
  </si>
  <si>
    <t>추천 가입</t>
  </si>
  <si>
    <t>추천 무료월 획득</t>
  </si>
  <si>
    <r>
      <rPr>
        <b/>
        <sz val="11"/>
        <color rgb="FF17324D"/>
        <rFont val="Linux Libertine G"/>
        <family val="2"/>
      </rPr>
      <t xml:space="preserve">월별 매출 </t>
    </r>
    <r>
      <rPr>
        <b/>
        <sz val="11"/>
        <color rgb="FF17324D"/>
        <rFont val="Arial"/>
        <family val="2"/>
      </rPr>
      <t xml:space="preserve">· </t>
    </r>
    <r>
      <rPr>
        <b/>
        <sz val="11"/>
        <color rgb="FF17324D"/>
        <rFont val="Linux Libertine G"/>
        <family val="2"/>
      </rPr>
      <t xml:space="preserve">비용 </t>
    </r>
    <r>
      <rPr>
        <b/>
        <sz val="11"/>
        <color rgb="FF17324D"/>
        <rFont val="Arial"/>
        <family val="2"/>
      </rPr>
      <t xml:space="preserve">· </t>
    </r>
    <r>
      <rPr>
        <b/>
        <sz val="11"/>
        <color rgb="FF17324D"/>
        <rFont val="Linux Libertine G"/>
        <family val="2"/>
      </rPr>
      <t xml:space="preserve">순이익 </t>
    </r>
    <r>
      <rPr>
        <b/>
        <sz val="11"/>
        <color rgb="FF17324D"/>
        <rFont val="Arial"/>
        <family val="2"/>
      </rPr>
      <t>(</t>
    </r>
    <r>
      <rPr>
        <b/>
        <sz val="11"/>
        <color rgb="FF17324D"/>
        <rFont val="Linux Libertine G"/>
        <family val="2"/>
      </rPr>
      <t>원</t>
    </r>
    <r>
      <rPr>
        <b/>
        <sz val="11"/>
        <color rgb="FF17324D"/>
        <rFont val="Arial"/>
        <family val="2"/>
      </rPr>
      <t>)</t>
    </r>
  </si>
  <si>
    <t>모델 적용 규칙</t>
  </si>
  <si>
    <t>월</t>
  </si>
  <si>
    <t>M1</t>
  </si>
  <si>
    <t>M2</t>
  </si>
  <si>
    <t>M3</t>
  </si>
  <si>
    <r>
      <rPr>
        <sz val="9"/>
        <color rgb="FF64748B"/>
        <rFont val="Linux Libertine G"/>
        <family val="2"/>
      </rPr>
      <t xml:space="preserve">추천 캠페인은 </t>
    </r>
    <r>
      <rPr>
        <sz val="9"/>
        <color rgb="FF64748B"/>
        <rFont val="Arial"/>
        <family val="2"/>
      </rPr>
      <t>M1~M2</t>
    </r>
    <r>
      <rPr>
        <sz val="9"/>
        <color rgb="FF64748B"/>
        <rFont val="Linux Libertine G"/>
        <family val="2"/>
      </rPr>
      <t>만 운영합니다</t>
    </r>
    <r>
      <rPr>
        <sz val="9"/>
        <color rgb="FF64748B"/>
        <rFont val="Arial"/>
        <family val="2"/>
      </rPr>
      <t xml:space="preserve">. </t>
    </r>
    <r>
      <rPr>
        <sz val="9"/>
        <color rgb="FF64748B"/>
        <rFont val="Linux Libertine G"/>
        <family val="2"/>
      </rPr>
      <t xml:space="preserve">이후 신규 추천 가입은 </t>
    </r>
    <r>
      <rPr>
        <sz val="9"/>
        <color rgb="FF64748B"/>
        <rFont val="Arial"/>
        <family val="2"/>
      </rPr>
      <t>0</t>
    </r>
    <r>
      <rPr>
        <sz val="9"/>
        <color rgb="FF64748B"/>
        <rFont val="Linux Libertine G"/>
        <family val="2"/>
      </rPr>
      <t>입니다</t>
    </r>
    <r>
      <rPr>
        <sz val="9"/>
        <color rgb="FF64748B"/>
        <rFont val="Arial"/>
        <family val="2"/>
      </rPr>
      <t>.</t>
    </r>
  </si>
  <si>
    <t>M4</t>
  </si>
  <si>
    <r>
      <rPr>
        <sz val="9"/>
        <color rgb="FF64748B"/>
        <rFont val="Linux Libertine G"/>
        <family val="2"/>
      </rPr>
      <t>두 명의 카드 체험으로 얻은 무료월은 다음 달 사용하고</t>
    </r>
    <r>
      <rPr>
        <sz val="9"/>
        <color rgb="FF64748B"/>
        <rFont val="Arial"/>
        <family val="2"/>
      </rPr>
      <t xml:space="preserve">, </t>
    </r>
    <r>
      <rPr>
        <sz val="9"/>
        <color rgb="FF64748B"/>
        <rFont val="Linux Libertine G"/>
        <family val="2"/>
      </rPr>
      <t>미사용분은 만료로 근사합니다</t>
    </r>
    <r>
      <rPr>
        <sz val="9"/>
        <color rgb="FF64748B"/>
        <rFont val="Arial"/>
        <family val="2"/>
      </rPr>
      <t>.</t>
    </r>
  </si>
  <si>
    <t>M5</t>
  </si>
  <si>
    <r>
      <rPr>
        <sz val="9"/>
        <color rgb="FF64748B"/>
        <rFont val="Linux Libertine G"/>
        <family val="2"/>
      </rPr>
      <t xml:space="preserve">현재 직원이 없으므로 인건비는 </t>
    </r>
    <r>
      <rPr>
        <sz val="9"/>
        <color rgb="FF64748B"/>
        <rFont val="Arial"/>
        <family val="2"/>
      </rPr>
      <t>0</t>
    </r>
    <r>
      <rPr>
        <sz val="9"/>
        <color rgb="FF64748B"/>
        <rFont val="Linux Libertine G"/>
        <family val="2"/>
      </rPr>
      <t>원입니다</t>
    </r>
    <r>
      <rPr>
        <sz val="9"/>
        <color rgb="FF64748B"/>
        <rFont val="Arial"/>
        <family val="2"/>
      </rPr>
      <t xml:space="preserve">. </t>
    </r>
    <r>
      <rPr>
        <sz val="9"/>
        <color rgb="FF64748B"/>
        <rFont val="Linux Libertine G"/>
        <family val="2"/>
      </rPr>
      <t>채용 시 해당 레버를 변경하세요</t>
    </r>
    <r>
      <rPr>
        <sz val="9"/>
        <color rgb="FF64748B"/>
        <rFont val="Arial"/>
        <family val="2"/>
      </rPr>
      <t>.</t>
    </r>
  </si>
  <si>
    <r>
      <rPr>
        <sz val="9"/>
        <color rgb="FF64748B"/>
        <rFont val="Arial"/>
        <family val="2"/>
      </rPr>
      <t>Vercel Hobby</t>
    </r>
    <r>
      <rPr>
        <sz val="9"/>
        <color rgb="FF64748B"/>
        <rFont val="Linux Libertine G"/>
        <family val="2"/>
      </rPr>
      <t xml:space="preserve">는 비상업용만 허용되어 유료 서비스는 </t>
    </r>
    <r>
      <rPr>
        <sz val="9"/>
        <color rgb="FF64748B"/>
        <rFont val="Arial"/>
        <family val="2"/>
      </rPr>
      <t>Pro</t>
    </r>
    <r>
      <rPr>
        <sz val="9"/>
        <color rgb="FF64748B"/>
        <rFont val="Linux Libertine G"/>
        <family val="2"/>
      </rPr>
      <t>부터 시작합니다</t>
    </r>
    <r>
      <rPr>
        <sz val="9"/>
        <color rgb="FF64748B"/>
        <rFont val="Arial"/>
        <family val="2"/>
      </rPr>
      <t>.</t>
    </r>
  </si>
  <si>
    <t>M7</t>
  </si>
  <si>
    <t>M8</t>
  </si>
  <si>
    <r>
      <rPr>
        <sz val="9"/>
        <color rgb="FF64748B"/>
        <rFont val="Linux Libertine G"/>
        <family val="2"/>
      </rPr>
      <t>음성 인식은 기기 내 처리</t>
    </r>
    <r>
      <rPr>
        <sz val="9"/>
        <color rgb="FF64748B"/>
        <rFont val="Arial"/>
        <family val="2"/>
      </rPr>
      <t xml:space="preserve">. </t>
    </r>
    <r>
      <rPr>
        <sz val="9"/>
        <color rgb="FF64748B"/>
        <rFont val="Linux Libertine G"/>
        <family val="2"/>
      </rPr>
      <t xml:space="preserve">외부 </t>
    </r>
    <r>
      <rPr>
        <sz val="9"/>
        <color rgb="FF64748B"/>
        <rFont val="Arial"/>
        <family val="2"/>
      </rPr>
      <t xml:space="preserve">AI </t>
    </r>
    <r>
      <rPr>
        <sz val="9"/>
        <color rgb="FF64748B"/>
        <rFont val="Linux Libertine G"/>
        <family val="2"/>
      </rPr>
      <t>요약은 텍스트 토큰 비용만 포함합니다</t>
    </r>
    <r>
      <rPr>
        <sz val="9"/>
        <color rgb="FF64748B"/>
        <rFont val="Arial"/>
        <family val="2"/>
      </rPr>
      <t>.</t>
    </r>
  </si>
  <si>
    <t>M9</t>
  </si>
  <si>
    <r>
      <rPr>
        <sz val="9"/>
        <color rgb="FF64748B"/>
        <rFont val="Linux Libertine G"/>
        <family val="2"/>
      </rPr>
      <t xml:space="preserve">매출은 </t>
    </r>
    <r>
      <rPr>
        <sz val="9"/>
        <color rgb="FF64748B"/>
        <rFont val="Arial"/>
        <family val="2"/>
      </rPr>
      <t xml:space="preserve">VAT </t>
    </r>
    <r>
      <rPr>
        <sz val="9"/>
        <color rgb="FF64748B"/>
        <rFont val="Linux Libertine G"/>
        <family val="2"/>
      </rPr>
      <t>제외</t>
    </r>
    <r>
      <rPr>
        <sz val="9"/>
        <color rgb="FF64748B"/>
        <rFont val="Arial"/>
        <family val="2"/>
      </rPr>
      <t xml:space="preserve">. </t>
    </r>
    <r>
      <rPr>
        <sz val="9"/>
        <color rgb="FF64748B"/>
        <rFont val="Linux Libertine G"/>
        <family val="2"/>
      </rPr>
      <t>법인세는 월간 추정과 이월결손금 단순 적용입니다</t>
    </r>
    <r>
      <rPr>
        <sz val="9"/>
        <color rgb="FF64748B"/>
        <rFont val="Arial"/>
        <family val="2"/>
      </rPr>
      <t>.</t>
    </r>
  </si>
  <si>
    <t>M10</t>
  </si>
  <si>
    <t>M11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</si>
  <si>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</si>
  <si>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</si>
  <si>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</si>
  <si>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</si>
  <si>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</si>
  <si>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</si>
  <si>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</si>
  <si>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</si>
  <si>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</si>
  <si>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</si>
  <si>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</si>
  <si>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사업모델 가정과 조절값</t>
  </si>
  <si>
    <t>조절 항목</t>
  </si>
  <si>
    <t>단위</t>
  </si>
  <si>
    <t>값</t>
  </si>
  <si>
    <t>근거 구분</t>
  </si>
  <si>
    <r>
      <rPr>
        <b/>
        <sz val="10"/>
        <color rgb="FFFFFFFF"/>
        <rFont val="Linux Libertine G"/>
        <family val="2"/>
      </rPr>
      <t xml:space="preserve">출처 </t>
    </r>
    <r>
      <rPr>
        <b/>
        <sz val="10"/>
        <color rgb="FFFFFFFF"/>
        <rFont val="Arial"/>
        <family val="2"/>
      </rPr>
      <t>ID</t>
    </r>
  </si>
  <si>
    <r>
      <rPr>
        <b/>
        <sz val="10"/>
        <color rgb="FFFFFFFF"/>
        <rFont val="Linux Libertine G"/>
        <family val="2"/>
      </rPr>
      <t xml:space="preserve">정의 </t>
    </r>
    <r>
      <rPr>
        <b/>
        <sz val="10"/>
        <color rgb="FFFFFFFF"/>
        <rFont val="Arial"/>
        <family val="2"/>
      </rPr>
      <t xml:space="preserve">/ </t>
    </r>
    <r>
      <rPr>
        <b/>
        <sz val="10"/>
        <color rgb="FFFFFFFF"/>
        <rFont val="Linux Libertine G"/>
        <family val="2"/>
      </rPr>
      <t>바꿀 때 확인할 점</t>
    </r>
  </si>
  <si>
    <r>
      <rPr>
        <sz val="10"/>
        <color rgb="FF243447"/>
        <rFont val="Linux Libertine G"/>
        <family val="2"/>
      </rPr>
      <t xml:space="preserve">출시 후 </t>
    </r>
    <r>
      <rPr>
        <sz val="10"/>
        <color rgb="FF243447"/>
        <rFont val="Arial"/>
        <family val="2"/>
      </rPr>
      <t>1</t>
    </r>
    <r>
      <rPr>
        <sz val="10"/>
        <color rgb="FF243447"/>
        <rFont val="Linux Libertine G"/>
        <family val="2"/>
      </rPr>
      <t>개월</t>
    </r>
  </si>
  <si>
    <r>
      <rPr>
        <sz val="10"/>
        <color rgb="FF243447"/>
        <rFont val="Linux Libertine G"/>
        <family val="2"/>
      </rPr>
      <t xml:space="preserve">출시 후 </t>
    </r>
    <r>
      <rPr>
        <sz val="10"/>
        <color rgb="FF243447"/>
        <rFont val="Arial"/>
        <family val="2"/>
      </rPr>
      <t>2</t>
    </r>
    <r>
      <rPr>
        <sz val="10"/>
        <color rgb="FF243447"/>
        <rFont val="Linux Libertine G"/>
        <family val="2"/>
      </rPr>
      <t>개월</t>
    </r>
  </si>
  <si>
    <r>
      <rPr>
        <sz val="10"/>
        <color rgb="FF243447"/>
        <rFont val="Linux Libertine G"/>
        <family val="2"/>
      </rPr>
      <t xml:space="preserve">출시 후 </t>
    </r>
    <r>
      <rPr>
        <sz val="10"/>
        <color rgb="FF243447"/>
        <rFont val="Arial"/>
        <family val="2"/>
      </rPr>
      <t>3</t>
    </r>
    <r>
      <rPr>
        <sz val="10"/>
        <color rgb="FF243447"/>
        <rFont val="Linux Libertine G"/>
        <family val="2"/>
      </rPr>
      <t>개월</t>
    </r>
  </si>
  <si>
    <r>
      <rPr>
        <sz val="10"/>
        <color rgb="FF243447"/>
        <rFont val="Linux Libertine G"/>
        <family val="2"/>
      </rPr>
      <t xml:space="preserve">출시 후 </t>
    </r>
    <r>
      <rPr>
        <sz val="10"/>
        <color rgb="FF243447"/>
        <rFont val="Arial"/>
        <family val="2"/>
      </rPr>
      <t>4</t>
    </r>
    <r>
      <rPr>
        <sz val="10"/>
        <color rgb="FF243447"/>
        <rFont val="Linux Libertine G"/>
        <family val="2"/>
      </rPr>
      <t>개월</t>
    </r>
  </si>
  <si>
    <r>
      <rPr>
        <sz val="10"/>
        <color rgb="FF243447"/>
        <rFont val="Linux Libertine G"/>
        <family val="2"/>
      </rPr>
      <t xml:space="preserve">출시 후 </t>
    </r>
    <r>
      <rPr>
        <sz val="10"/>
        <color rgb="FF243447"/>
        <rFont val="Arial"/>
        <family val="2"/>
      </rPr>
      <t>5</t>
    </r>
    <r>
      <rPr>
        <sz val="10"/>
        <color rgb="FF243447"/>
        <rFont val="Linux Libertine G"/>
        <family val="2"/>
      </rPr>
      <t>개월</t>
    </r>
  </si>
  <si>
    <r>
      <rPr>
        <sz val="10"/>
        <color rgb="FF243447"/>
        <rFont val="Linux Libertine G"/>
        <family val="2"/>
      </rPr>
      <t xml:space="preserve">출시 후 </t>
    </r>
    <r>
      <rPr>
        <sz val="10"/>
        <color rgb="FF243447"/>
        <rFont val="Arial"/>
        <family val="2"/>
      </rPr>
      <t>6</t>
    </r>
    <r>
      <rPr>
        <sz val="10"/>
        <color rgb="FF243447"/>
        <rFont val="Linux Libertine G"/>
        <family val="2"/>
      </rPr>
      <t>개월</t>
    </r>
  </si>
  <si>
    <r>
      <rPr>
        <sz val="10"/>
        <color rgb="FF243447"/>
        <rFont val="Linux Libertine G"/>
        <family val="2"/>
      </rPr>
      <t xml:space="preserve">출시 후 </t>
    </r>
    <r>
      <rPr>
        <sz val="10"/>
        <color rgb="FF243447"/>
        <rFont val="Arial"/>
        <family val="2"/>
      </rPr>
      <t>7</t>
    </r>
    <r>
      <rPr>
        <sz val="10"/>
        <color rgb="FF243447"/>
        <rFont val="Linux Libertine G"/>
        <family val="2"/>
      </rPr>
      <t>개월</t>
    </r>
  </si>
  <si>
    <r>
      <rPr>
        <sz val="10"/>
        <color rgb="FF243447"/>
        <rFont val="Linux Libertine G"/>
        <family val="2"/>
      </rPr>
      <t xml:space="preserve">출시 후 </t>
    </r>
    <r>
      <rPr>
        <sz val="10"/>
        <color rgb="FF243447"/>
        <rFont val="Arial"/>
        <family val="2"/>
      </rPr>
      <t>8</t>
    </r>
    <r>
      <rPr>
        <sz val="10"/>
        <color rgb="FF243447"/>
        <rFont val="Linux Libertine G"/>
        <family val="2"/>
      </rPr>
      <t>개월</t>
    </r>
  </si>
  <si>
    <r>
      <rPr>
        <sz val="10"/>
        <color rgb="FF243447"/>
        <rFont val="Linux Libertine G"/>
        <family val="2"/>
      </rPr>
      <t xml:space="preserve">출시 후 </t>
    </r>
    <r>
      <rPr>
        <sz val="10"/>
        <color rgb="FF243447"/>
        <rFont val="Arial"/>
        <family val="2"/>
      </rPr>
      <t>9</t>
    </r>
    <r>
      <rPr>
        <sz val="10"/>
        <color rgb="FF243447"/>
        <rFont val="Linux Libertine G"/>
        <family val="2"/>
      </rPr>
      <t>개월</t>
    </r>
  </si>
  <si>
    <r>
      <rPr>
        <sz val="10"/>
        <color rgb="FF243447"/>
        <rFont val="Linux Libertine G"/>
        <family val="2"/>
      </rPr>
      <t xml:space="preserve">출시 후 </t>
    </r>
    <r>
      <rPr>
        <sz val="10"/>
        <color rgb="FF243447"/>
        <rFont val="Arial"/>
        <family val="2"/>
      </rPr>
      <t>10</t>
    </r>
    <r>
      <rPr>
        <sz val="10"/>
        <color rgb="FF243447"/>
        <rFont val="Linux Libertine G"/>
        <family val="2"/>
      </rPr>
      <t>개월</t>
    </r>
  </si>
  <si>
    <r>
      <rPr>
        <sz val="10"/>
        <color rgb="FF243447"/>
        <rFont val="Linux Libertine G"/>
        <family val="2"/>
      </rPr>
      <t xml:space="preserve">출시 후 </t>
    </r>
    <r>
      <rPr>
        <sz val="10"/>
        <color rgb="FF243447"/>
        <rFont val="Arial"/>
        <family val="2"/>
      </rPr>
      <t>11</t>
    </r>
    <r>
      <rPr>
        <sz val="10"/>
        <color rgb="FF243447"/>
        <rFont val="Linux Libertine G"/>
        <family val="2"/>
      </rPr>
      <t>개월</t>
    </r>
  </si>
  <si>
    <r>
      <rPr>
        <sz val="10"/>
        <color rgb="FF243447"/>
        <rFont val="Linux Libertine G"/>
        <family val="2"/>
      </rPr>
      <t xml:space="preserve">출시 후 </t>
    </r>
    <r>
      <rPr>
        <sz val="10"/>
        <color rgb="FF243447"/>
        <rFont val="Arial"/>
        <family val="2"/>
      </rPr>
      <t>12</t>
    </r>
    <r>
      <rPr>
        <sz val="10"/>
        <color rgb="FF243447"/>
        <rFont val="Linux Libertine G"/>
        <family val="2"/>
      </rPr>
      <t>개월</t>
    </r>
  </si>
  <si>
    <r>
      <rPr>
        <b/>
        <sz val="10"/>
        <color rgb="FF17324D"/>
        <rFont val="Linux Libertine G"/>
        <family val="2"/>
      </rPr>
      <t xml:space="preserve">상품 </t>
    </r>
    <r>
      <rPr>
        <b/>
        <sz val="10"/>
        <color rgb="FF17324D"/>
        <rFont val="Arial"/>
        <family val="2"/>
      </rPr>
      <t xml:space="preserve">· </t>
    </r>
    <r>
      <rPr>
        <b/>
        <sz val="10"/>
        <color rgb="FF17324D"/>
        <rFont val="Linux Libertine G"/>
        <family val="2"/>
      </rPr>
      <t xml:space="preserve">체험 </t>
    </r>
    <r>
      <rPr>
        <b/>
        <sz val="10"/>
        <color rgb="FF17324D"/>
        <rFont val="Arial"/>
        <family val="2"/>
      </rPr>
      <t xml:space="preserve">· </t>
    </r>
    <r>
      <rPr>
        <b/>
        <sz val="10"/>
        <color rgb="FF17324D"/>
        <rFont val="Linux Libertine G"/>
        <family val="2"/>
      </rPr>
      <t>추천 규칙</t>
    </r>
  </si>
  <si>
    <t>오가닉 계절 계수</t>
  </si>
  <si>
    <r>
      <rPr>
        <sz val="10"/>
        <color rgb="FF243447"/>
        <rFont val="Arial"/>
        <family val="2"/>
      </rPr>
      <t xml:space="preserve">Essential </t>
    </r>
    <r>
      <rPr>
        <sz val="10"/>
        <color rgb="FF243447"/>
        <rFont val="Linux Libertine G"/>
        <family val="2"/>
      </rPr>
      <t>월 가격</t>
    </r>
  </si>
  <si>
    <t>원</t>
  </si>
  <si>
    <t>사용자</t>
  </si>
  <si>
    <t>U</t>
  </si>
  <si>
    <t>부가세 포함 소비자 표시가</t>
  </si>
  <si>
    <r>
      <rPr>
        <sz val="10"/>
        <color rgb="FF243447"/>
        <rFont val="Arial"/>
        <family val="2"/>
      </rPr>
      <t xml:space="preserve">Essential </t>
    </r>
    <r>
      <rPr>
        <sz val="10"/>
        <color rgb="FF243447"/>
        <rFont val="Linux Libertine G"/>
        <family val="2"/>
      </rPr>
      <t>학생가</t>
    </r>
  </si>
  <si>
    <t>학생 인증 시 같은 기능</t>
  </si>
  <si>
    <r>
      <rPr>
        <sz val="10"/>
        <color rgb="FF243447"/>
        <rFont val="Arial"/>
        <family val="2"/>
      </rPr>
      <t xml:space="preserve">Pro </t>
    </r>
    <r>
      <rPr>
        <sz val="10"/>
        <color rgb="FF243447"/>
        <rFont val="Linux Libertine G"/>
        <family val="2"/>
      </rPr>
      <t>월 가격</t>
    </r>
  </si>
  <si>
    <r>
      <rPr>
        <i/>
        <sz val="9"/>
        <color rgb="FF64748B"/>
        <rFont val="Arial"/>
        <family val="2"/>
      </rPr>
      <t>2</t>
    </r>
    <r>
      <rPr>
        <i/>
        <sz val="9"/>
        <color rgb="FF64748B"/>
        <rFont val="Linux Libertine G"/>
        <family val="2"/>
      </rPr>
      <t>년차에도 같은 계수를 반복합니다</t>
    </r>
    <r>
      <rPr>
        <i/>
        <sz val="9"/>
        <color rgb="FF64748B"/>
        <rFont val="Arial"/>
        <family val="2"/>
      </rPr>
      <t xml:space="preserve">. </t>
    </r>
    <r>
      <rPr>
        <i/>
        <sz val="9"/>
        <color rgb="FF64748B"/>
        <rFont val="Linux Libertine G"/>
        <family val="2"/>
      </rPr>
      <t>방학</t>
    </r>
    <r>
      <rPr>
        <i/>
        <sz val="9"/>
        <color rgb="FF64748B"/>
        <rFont val="Arial"/>
        <family val="2"/>
      </rPr>
      <t>·</t>
    </r>
    <r>
      <rPr>
        <i/>
        <sz val="9"/>
        <color rgb="FF64748B"/>
        <rFont val="Linux Libertine G"/>
        <family val="2"/>
      </rPr>
      <t>개강 효과는 실측 후 입력하세요</t>
    </r>
    <r>
      <rPr>
        <i/>
        <sz val="9"/>
        <color rgb="FF64748B"/>
        <rFont val="Arial"/>
        <family val="2"/>
      </rPr>
      <t>.</t>
    </r>
  </si>
  <si>
    <t>일</t>
  </si>
  <si>
    <t>분</t>
  </si>
  <si>
    <t>가격 비중 합계</t>
  </si>
  <si>
    <r>
      <rPr>
        <sz val="10"/>
        <color rgb="FF243447"/>
        <rFont val="Arial"/>
        <family val="2"/>
      </rPr>
      <t>1</t>
    </r>
    <r>
      <rPr>
        <sz val="10"/>
        <color rgb="FF243447"/>
        <rFont val="Linux Libertine G"/>
        <family val="2"/>
      </rPr>
      <t>인당 초대 코드</t>
    </r>
  </si>
  <si>
    <t>개</t>
  </si>
  <si>
    <t>추천 보상은 두 코드가 모두 인정될 때 지급</t>
  </si>
  <si>
    <t>사전예약 첫달 무료</t>
  </si>
  <si>
    <t>개월</t>
  </si>
  <si>
    <t>카드 등록을 완료한 유료 플랜 이용자</t>
  </si>
  <si>
    <t>추천 보상 무료 기간</t>
  </si>
  <si>
    <r>
      <rPr>
        <sz val="10"/>
        <color rgb="FF243447"/>
        <rFont val="Linux Libertine G"/>
        <family val="2"/>
      </rPr>
      <t xml:space="preserve">한 추천인이 코드 </t>
    </r>
    <r>
      <rPr>
        <sz val="10"/>
        <color rgb="FF243447"/>
        <rFont val="Arial"/>
        <family val="2"/>
      </rPr>
      <t>2</t>
    </r>
    <r>
      <rPr>
        <sz val="10"/>
        <color rgb="FF243447"/>
        <rFont val="Linux Libertine G"/>
        <family val="2"/>
      </rPr>
      <t xml:space="preserve">개 모두 달성 시 </t>
    </r>
    <r>
      <rPr>
        <sz val="10"/>
        <color rgb="FF243447"/>
        <rFont val="Arial"/>
        <family val="2"/>
      </rPr>
      <t>1</t>
    </r>
    <r>
      <rPr>
        <sz val="10"/>
        <color rgb="FF243447"/>
        <rFont val="Linux Libertine G"/>
        <family val="2"/>
      </rPr>
      <t>회 지급</t>
    </r>
  </si>
  <si>
    <r>
      <rPr>
        <b/>
        <sz val="10"/>
        <color rgb="FF17324D"/>
        <rFont val="Linux Libertine G"/>
        <family val="2"/>
      </rPr>
      <t xml:space="preserve">신규 유입 </t>
    </r>
    <r>
      <rPr>
        <b/>
        <sz val="10"/>
        <color rgb="FF17324D"/>
        <rFont val="Arial"/>
        <family val="2"/>
      </rPr>
      <t xml:space="preserve">· </t>
    </r>
    <r>
      <rPr>
        <b/>
        <sz val="10"/>
        <color rgb="FF17324D"/>
        <rFont val="Linux Libertine G"/>
        <family val="2"/>
      </rPr>
      <t>무료체험 전환</t>
    </r>
  </si>
  <si>
    <t>출시 시 사전예약자</t>
  </si>
  <si>
    <t>명</t>
  </si>
  <si>
    <t>가정</t>
  </si>
  <si>
    <t>A</t>
  </si>
  <si>
    <t>현재 웨이트리스트 실측값으로 교체</t>
  </si>
  <si>
    <t>사전예약 → 계정 가입</t>
  </si>
  <si>
    <t>%</t>
  </si>
  <si>
    <t>사전예약자 중 출시 후 가입 비중</t>
  </si>
  <si>
    <t>사전예약 가입 → 카드 등록</t>
  </si>
  <si>
    <t>첫달 무료 혜택 시작 비중</t>
  </si>
  <si>
    <t>출시 첫달 오가닉 가입</t>
  </si>
  <si>
    <r>
      <rPr>
        <sz val="10"/>
        <color rgb="FF243447"/>
        <rFont val="Linux Libertine G"/>
        <family val="2"/>
      </rPr>
      <t>광고</t>
    </r>
    <r>
      <rPr>
        <sz val="10"/>
        <color rgb="FF243447"/>
        <rFont val="Arial"/>
        <family val="2"/>
      </rPr>
      <t>·</t>
    </r>
    <r>
      <rPr>
        <sz val="10"/>
        <color rgb="FF243447"/>
        <rFont val="Linux Libertine G"/>
        <family val="2"/>
      </rPr>
      <t>추천 제외</t>
    </r>
    <r>
      <rPr>
        <sz val="10"/>
        <color rgb="FF243447"/>
        <rFont val="Arial"/>
        <family val="2"/>
      </rPr>
      <t xml:space="preserve">. </t>
    </r>
    <r>
      <rPr>
        <sz val="10"/>
        <color rgb="FF243447"/>
        <rFont val="Linux Libertine G"/>
        <family val="2"/>
      </rPr>
      <t>실측 획득 채널로 교체</t>
    </r>
  </si>
  <si>
    <t>오가닉 월 성장률</t>
  </si>
  <si>
    <t>아래 학사시즌 계수와 별도 적용</t>
  </si>
  <si>
    <t>B1</t>
  </si>
  <si>
    <t>추천 자격자 중 두 코드 공유</t>
  </si>
  <si>
    <t>참고 기반 가정</t>
  </si>
  <si>
    <t>B3</t>
  </si>
  <si>
    <r>
      <rPr>
        <sz val="10"/>
        <color rgb="FF243447"/>
        <rFont val="Linux Libertine G"/>
        <family val="2"/>
      </rPr>
      <t>추천으로 유입된 고객의 공유율 참고</t>
    </r>
    <r>
      <rPr>
        <sz val="10"/>
        <color rgb="FF243447"/>
        <rFont val="Arial"/>
        <family val="2"/>
      </rPr>
      <t xml:space="preserve">. </t>
    </r>
    <r>
      <rPr>
        <sz val="10"/>
        <color rgb="FF243447"/>
        <rFont val="Linux Libertine G"/>
        <family val="2"/>
      </rPr>
      <t>본 제품 실측 아님</t>
    </r>
  </si>
  <si>
    <t>초대 코드 수신 → 가입</t>
  </si>
  <si>
    <t>공유한 각 코드의 가입 확률</t>
  </si>
  <si>
    <t>추천 가입 → 카드 체험</t>
  </si>
  <si>
    <t>카드 등록 후 무료체험 시작이 추천 인정 조건</t>
  </si>
  <si>
    <t>추천 카드 체험 → 유료</t>
  </si>
  <si>
    <t>체험 완료 다음 달부터 유료 과금</t>
  </si>
  <si>
    <t>사전예약 첫달 무료 → 유료</t>
  </si>
  <si>
    <t>무료 한 달 후 첫 결제 성공률</t>
  </si>
  <si>
    <r>
      <rPr>
        <b/>
        <sz val="10"/>
        <color rgb="FF17324D"/>
        <rFont val="Linux Libertine G"/>
        <family val="2"/>
      </rPr>
      <t xml:space="preserve">기존 고객 유지 </t>
    </r>
    <r>
      <rPr>
        <b/>
        <sz val="10"/>
        <color rgb="FF17324D"/>
        <rFont val="Arial"/>
        <family val="2"/>
      </rPr>
      <t xml:space="preserve">· </t>
    </r>
    <r>
      <rPr>
        <b/>
        <sz val="10"/>
        <color rgb="FF17324D"/>
        <rFont val="Linux Libertine G"/>
        <family val="2"/>
      </rPr>
      <t>가격 구성</t>
    </r>
  </si>
  <si>
    <r>
      <rPr>
        <sz val="10"/>
        <color rgb="FF243447"/>
        <rFont val="Arial"/>
        <family val="2"/>
      </rPr>
      <t xml:space="preserve">Essential </t>
    </r>
    <r>
      <rPr>
        <sz val="10"/>
        <color rgb="FF243447"/>
        <rFont val="Linux Libertine G"/>
        <family val="2"/>
      </rPr>
      <t>월 유료 이탈률</t>
    </r>
  </si>
  <si>
    <t>벤치마크</t>
  </si>
  <si>
    <t>B2</t>
  </si>
  <si>
    <r>
      <rPr>
        <sz val="10"/>
        <color rgb="FF243447"/>
        <rFont val="Linux Libertine G"/>
        <family val="2"/>
      </rPr>
      <t xml:space="preserve">저가 </t>
    </r>
    <r>
      <rPr>
        <sz val="10"/>
        <color rgb="FF243447"/>
        <rFont val="Arial"/>
        <family val="2"/>
      </rPr>
      <t>SaaS</t>
    </r>
    <r>
      <rPr>
        <sz val="10"/>
        <color rgb="FF243447"/>
        <rFont val="Linux Libertine G"/>
        <family val="2"/>
      </rPr>
      <t xml:space="preserve">의 월 고객 이탈률 </t>
    </r>
    <r>
      <rPr>
        <sz val="10"/>
        <color rgb="FF243447"/>
        <rFont val="Arial"/>
        <family val="2"/>
      </rPr>
      <t xml:space="preserve">6.1~6.4% </t>
    </r>
    <r>
      <rPr>
        <sz val="10"/>
        <color rgb="FF243447"/>
        <rFont val="Linux Libertine G"/>
        <family val="2"/>
      </rPr>
      <t>참고</t>
    </r>
  </si>
  <si>
    <t>학생가 월 유료 이탈률</t>
  </si>
  <si>
    <r>
      <rPr>
        <sz val="10"/>
        <color rgb="FF243447"/>
        <rFont val="Linux Libertine G"/>
        <family val="2"/>
      </rPr>
      <t>방학 영향 미반영</t>
    </r>
    <r>
      <rPr>
        <sz val="10"/>
        <color rgb="FF243447"/>
        <rFont val="Arial"/>
        <family val="2"/>
      </rPr>
      <t xml:space="preserve">. </t>
    </r>
    <r>
      <rPr>
        <sz val="10"/>
        <color rgb="FF243447"/>
        <rFont val="Linux Libertine G"/>
        <family val="2"/>
      </rPr>
      <t>학사시즌 계수 조정 권장</t>
    </r>
  </si>
  <si>
    <r>
      <rPr>
        <sz val="10"/>
        <color rgb="FF243447"/>
        <rFont val="Arial"/>
        <family val="2"/>
      </rPr>
      <t xml:space="preserve">Pro </t>
    </r>
    <r>
      <rPr>
        <sz val="10"/>
        <color rgb="FF243447"/>
        <rFont val="Linux Libertine G"/>
        <family val="2"/>
      </rPr>
      <t>월 유료 이탈률</t>
    </r>
  </si>
  <si>
    <r>
      <rPr>
        <sz val="10"/>
        <color rgb="FF243447"/>
        <rFont val="Linux Libertine G"/>
        <family val="2"/>
      </rPr>
      <t>계약</t>
    </r>
    <r>
      <rPr>
        <sz val="10"/>
        <color rgb="FF243447"/>
        <rFont val="Arial"/>
        <family val="2"/>
      </rPr>
      <t>/</t>
    </r>
    <r>
      <rPr>
        <sz val="10"/>
        <color rgb="FF243447"/>
        <rFont val="Linux Libertine G"/>
        <family val="2"/>
      </rPr>
      <t>실측 전까지 동일 기본값</t>
    </r>
  </si>
  <si>
    <r>
      <rPr>
        <sz val="10"/>
        <color rgb="FF243447"/>
        <rFont val="Arial"/>
        <family val="2"/>
      </rPr>
      <t xml:space="preserve">Free </t>
    </r>
    <r>
      <rPr>
        <sz val="10"/>
        <color rgb="FF243447"/>
        <rFont val="Linux Libertine G"/>
        <family val="2"/>
      </rPr>
      <t>월 비활성 이탈률</t>
    </r>
  </si>
  <si>
    <r>
      <rPr>
        <sz val="10"/>
        <color rgb="FF243447"/>
        <rFont val="Arial"/>
        <family val="2"/>
      </rPr>
      <t xml:space="preserve">Free </t>
    </r>
    <r>
      <rPr>
        <sz val="10"/>
        <color rgb="FF243447"/>
        <rFont val="Linux Libertine G"/>
        <family val="2"/>
      </rPr>
      <t>계정 활성 사용자 재고의 이탈</t>
    </r>
  </si>
  <si>
    <r>
      <rPr>
        <sz val="10"/>
        <color rgb="FF243447"/>
        <rFont val="Linux Libertine G"/>
        <family val="2"/>
      </rPr>
      <t xml:space="preserve">유료 이탈 → </t>
    </r>
    <r>
      <rPr>
        <sz val="10"/>
        <color rgb="FF243447"/>
        <rFont val="Arial"/>
        <family val="2"/>
      </rPr>
      <t xml:space="preserve">Free </t>
    </r>
    <r>
      <rPr>
        <sz val="10"/>
        <color rgb="FF243447"/>
        <rFont val="Linux Libertine G"/>
        <family val="2"/>
      </rPr>
      <t>잔류</t>
    </r>
  </si>
  <si>
    <r>
      <rPr>
        <sz val="10"/>
        <color rgb="FF243447"/>
        <rFont val="Linux Libertine G"/>
        <family val="2"/>
      </rPr>
      <t xml:space="preserve">유료 해지 후 무료 사용자는 </t>
    </r>
    <r>
      <rPr>
        <sz val="10"/>
        <color rgb="FF243447"/>
        <rFont val="Arial"/>
        <family val="2"/>
      </rPr>
      <t xml:space="preserve">Free </t>
    </r>
    <r>
      <rPr>
        <sz val="10"/>
        <color rgb="FF243447"/>
        <rFont val="Linux Libertine G"/>
        <family val="2"/>
      </rPr>
      <t>재고로 이동</t>
    </r>
  </si>
  <si>
    <r>
      <rPr>
        <sz val="10"/>
        <color rgb="FF243447"/>
        <rFont val="Linux Libertine G"/>
        <family val="2"/>
      </rPr>
      <t xml:space="preserve">신규 유료 </t>
    </r>
    <r>
      <rPr>
        <sz val="10"/>
        <color rgb="FF243447"/>
        <rFont val="Arial"/>
        <family val="2"/>
      </rPr>
      <t xml:space="preserve">Essential </t>
    </r>
    <r>
      <rPr>
        <sz val="10"/>
        <color rgb="FF243447"/>
        <rFont val="Linux Libertine G"/>
        <family val="2"/>
      </rPr>
      <t>비중</t>
    </r>
  </si>
  <si>
    <r>
      <rPr>
        <sz val="10"/>
        <color rgb="FF243447"/>
        <rFont val="Linux Libertine G"/>
        <family val="2"/>
      </rPr>
      <t>학생가</t>
    </r>
    <r>
      <rPr>
        <sz val="10"/>
        <color rgb="FF243447"/>
        <rFont val="Arial"/>
        <family val="2"/>
      </rPr>
      <t xml:space="preserve">·Pro </t>
    </r>
    <r>
      <rPr>
        <sz val="10"/>
        <color rgb="FF243447"/>
        <rFont val="Linux Libertine G"/>
        <family val="2"/>
      </rPr>
      <t xml:space="preserve">비중과 합계 </t>
    </r>
    <r>
      <rPr>
        <sz val="10"/>
        <color rgb="FF243447"/>
        <rFont val="Arial"/>
        <family val="2"/>
      </rPr>
      <t>100%</t>
    </r>
  </si>
  <si>
    <t>신규 유료 학생가 비중</t>
  </si>
  <si>
    <t>학생 타깃 특성 반영한 초기 가정</t>
  </si>
  <si>
    <r>
      <rPr>
        <sz val="10"/>
        <color rgb="FF243447"/>
        <rFont val="Linux Libertine G"/>
        <family val="2"/>
      </rPr>
      <t xml:space="preserve">신규 유료 </t>
    </r>
    <r>
      <rPr>
        <sz val="10"/>
        <color rgb="FF243447"/>
        <rFont val="Arial"/>
        <family val="2"/>
      </rPr>
      <t xml:space="preserve">Pro </t>
    </r>
    <r>
      <rPr>
        <sz val="10"/>
        <color rgb="FF243447"/>
        <rFont val="Linux Libertine G"/>
        <family val="2"/>
      </rPr>
      <t>비중</t>
    </r>
  </si>
  <si>
    <r>
      <rPr>
        <sz val="10"/>
        <color rgb="FF243447"/>
        <rFont val="Linux Libertine G"/>
        <family val="2"/>
      </rPr>
      <t xml:space="preserve">나머지와 합계 </t>
    </r>
    <r>
      <rPr>
        <sz val="10"/>
        <color rgb="FF243447"/>
        <rFont val="Arial"/>
        <family val="2"/>
      </rPr>
      <t>100%</t>
    </r>
  </si>
  <si>
    <t>다음달 추천 보상 사용률</t>
  </si>
  <si>
    <r>
      <rPr>
        <sz val="10"/>
        <color rgb="FF243447"/>
        <rFont val="Linux Libertine G"/>
        <family val="2"/>
      </rPr>
      <t>미사용분은 만료</t>
    </r>
    <r>
      <rPr>
        <sz val="10"/>
        <color rgb="FF243447"/>
        <rFont val="Arial"/>
        <family val="2"/>
      </rPr>
      <t xml:space="preserve">. </t>
    </r>
    <r>
      <rPr>
        <sz val="10"/>
        <color rgb="FF243447"/>
        <rFont val="Linux Libertine G"/>
        <family val="2"/>
      </rPr>
      <t>유료 구독 지속 여부 근사</t>
    </r>
  </si>
  <si>
    <r>
      <rPr>
        <b/>
        <sz val="10"/>
        <color rgb="FF17324D"/>
        <rFont val="Linux Libertine G"/>
        <family val="2"/>
      </rPr>
      <t xml:space="preserve">활동량 </t>
    </r>
    <r>
      <rPr>
        <b/>
        <sz val="10"/>
        <color rgb="FF17324D"/>
        <rFont val="Arial"/>
        <family val="2"/>
      </rPr>
      <t xml:space="preserve">· </t>
    </r>
    <r>
      <rPr>
        <b/>
        <sz val="10"/>
        <color rgb="FF17324D"/>
        <rFont val="Linux Libertine G"/>
        <family val="2"/>
      </rPr>
      <t>추론 비용</t>
    </r>
  </si>
  <si>
    <r>
      <rPr>
        <sz val="10"/>
        <color rgb="FF243447"/>
        <rFont val="Arial"/>
        <family val="2"/>
      </rPr>
      <t xml:space="preserve">Essential </t>
    </r>
    <r>
      <rPr>
        <sz val="10"/>
        <color rgb="FF243447"/>
        <rFont val="Linux Libertine G"/>
        <family val="2"/>
      </rPr>
      <t>유료 월 평균 강의</t>
    </r>
  </si>
  <si>
    <t>학생가 유료 월 평균 강의</t>
  </si>
  <si>
    <r>
      <rPr>
        <sz val="10"/>
        <color rgb="FF243447"/>
        <rFont val="Arial"/>
        <family val="2"/>
      </rPr>
      <t xml:space="preserve">Pro </t>
    </r>
    <r>
      <rPr>
        <sz val="10"/>
        <color rgb="FF243447"/>
        <rFont val="Linux Libertine G"/>
        <family val="2"/>
      </rPr>
      <t>유료 월 평균 강의</t>
    </r>
  </si>
  <si>
    <t>사전예약 무료월 평균 강의</t>
  </si>
  <si>
    <r>
      <rPr>
        <sz val="10"/>
        <color rgb="FF243447"/>
        <rFont val="Arial"/>
        <family val="2"/>
      </rPr>
      <t xml:space="preserve">Free </t>
    </r>
    <r>
      <rPr>
        <sz val="10"/>
        <color rgb="FF243447"/>
        <rFont val="Linux Libertine G"/>
        <family val="2"/>
      </rPr>
      <t>월 평균 강의</t>
    </r>
  </si>
  <si>
    <r>
      <rPr>
        <sz val="10"/>
        <color rgb="FF243447"/>
        <rFont val="Linux Libertine G"/>
        <family val="2"/>
      </rPr>
      <t>기본은 기기 내 처리</t>
    </r>
    <r>
      <rPr>
        <sz val="10"/>
        <color rgb="FF243447"/>
        <rFont val="Arial"/>
        <family val="2"/>
      </rPr>
      <t xml:space="preserve">, </t>
    </r>
    <r>
      <rPr>
        <sz val="10"/>
        <color rgb="FF243447"/>
        <rFont val="Linux Libertine G"/>
        <family val="2"/>
      </rPr>
      <t xml:space="preserve">외부 </t>
    </r>
    <r>
      <rPr>
        <sz val="10"/>
        <color rgb="FF243447"/>
        <rFont val="Arial"/>
        <family val="2"/>
      </rPr>
      <t>LLM 0</t>
    </r>
  </si>
  <si>
    <r>
      <rPr>
        <sz val="10"/>
        <color rgb="FF243447"/>
        <rFont val="Linux Libertine G"/>
        <family val="2"/>
      </rPr>
      <t>유료</t>
    </r>
    <r>
      <rPr>
        <sz val="10"/>
        <color rgb="FF243447"/>
        <rFont val="Arial"/>
        <family val="2"/>
      </rPr>
      <t>·</t>
    </r>
    <r>
      <rPr>
        <sz val="10"/>
        <color rgb="FF243447"/>
        <rFont val="Linux Libertine G"/>
        <family val="2"/>
      </rPr>
      <t xml:space="preserve">체험 강의의 외부 </t>
    </r>
    <r>
      <rPr>
        <sz val="10"/>
        <color rgb="FF243447"/>
        <rFont val="Arial"/>
        <family val="2"/>
      </rPr>
      <t xml:space="preserve">AI </t>
    </r>
    <r>
      <rPr>
        <sz val="10"/>
        <color rgb="FF243447"/>
        <rFont val="Linux Libertine G"/>
        <family val="2"/>
      </rPr>
      <t>요약 비중</t>
    </r>
  </si>
  <si>
    <t>사용자가 별도 동의한 텍스트 요약만 포함</t>
  </si>
  <si>
    <r>
      <rPr>
        <sz val="10"/>
        <color rgb="FF243447"/>
        <rFont val="Linux Libertine G"/>
        <family val="2"/>
      </rPr>
      <t xml:space="preserve">강의 </t>
    </r>
    <r>
      <rPr>
        <sz val="10"/>
        <color rgb="FF243447"/>
        <rFont val="Arial"/>
        <family val="2"/>
      </rPr>
      <t>1</t>
    </r>
    <r>
      <rPr>
        <sz val="10"/>
        <color rgb="FF243447"/>
        <rFont val="Linux Libertine G"/>
        <family val="2"/>
      </rPr>
      <t>분당 입력 토큰</t>
    </r>
  </si>
  <si>
    <t>토큰</t>
  </si>
  <si>
    <r>
      <rPr>
        <sz val="10"/>
        <color rgb="FF243447"/>
        <rFont val="Linux Libertine G"/>
        <family val="2"/>
      </rPr>
      <t>자막</t>
    </r>
    <r>
      <rPr>
        <sz val="10"/>
        <color rgb="FF243447"/>
        <rFont val="Arial"/>
        <family val="2"/>
      </rPr>
      <t>·OCR·</t>
    </r>
    <r>
      <rPr>
        <sz val="10"/>
        <color rgb="FF243447"/>
        <rFont val="Linux Libertine G"/>
        <family val="2"/>
      </rPr>
      <t>프롬프트 합계</t>
    </r>
    <r>
      <rPr>
        <sz val="10"/>
        <color rgb="FF243447"/>
        <rFont val="Arial"/>
        <family val="2"/>
      </rPr>
      <t xml:space="preserve">. </t>
    </r>
    <r>
      <rPr>
        <sz val="10"/>
        <color rgb="FF243447"/>
        <rFont val="Linux Libertine G"/>
        <family val="2"/>
      </rPr>
      <t xml:space="preserve">실측 </t>
    </r>
    <r>
      <rPr>
        <sz val="10"/>
        <color rgb="FF243447"/>
        <rFont val="Arial"/>
        <family val="2"/>
      </rPr>
      <t xml:space="preserve">API </t>
    </r>
    <r>
      <rPr>
        <sz val="10"/>
        <color rgb="FF243447"/>
        <rFont val="Linux Libertine G"/>
        <family val="2"/>
      </rPr>
      <t>로그로 교체</t>
    </r>
  </si>
  <si>
    <r>
      <rPr>
        <sz val="10"/>
        <color rgb="FF243447"/>
        <rFont val="Linux Libertine G"/>
        <family val="2"/>
      </rPr>
      <t xml:space="preserve">강의 </t>
    </r>
    <r>
      <rPr>
        <sz val="10"/>
        <color rgb="FF243447"/>
        <rFont val="Arial"/>
        <family val="2"/>
      </rPr>
      <t>1</t>
    </r>
    <r>
      <rPr>
        <sz val="10"/>
        <color rgb="FF243447"/>
        <rFont val="Linux Libertine G"/>
        <family val="2"/>
      </rPr>
      <t>분당 출력 토큰</t>
    </r>
  </si>
  <si>
    <r>
      <rPr>
        <sz val="10"/>
        <color rgb="FF243447"/>
        <rFont val="Linux Libertine G"/>
        <family val="2"/>
      </rPr>
      <t>노트 출력</t>
    </r>
    <r>
      <rPr>
        <sz val="10"/>
        <color rgb="FF243447"/>
        <rFont val="Arial"/>
        <family val="2"/>
      </rPr>
      <t xml:space="preserve">. </t>
    </r>
    <r>
      <rPr>
        <sz val="10"/>
        <color rgb="FF243447"/>
        <rFont val="Linux Libertine G"/>
        <family val="2"/>
      </rPr>
      <t xml:space="preserve">실측 </t>
    </r>
    <r>
      <rPr>
        <sz val="10"/>
        <color rgb="FF243447"/>
        <rFont val="Arial"/>
        <family val="2"/>
      </rPr>
      <t xml:space="preserve">API </t>
    </r>
    <r>
      <rPr>
        <sz val="10"/>
        <color rgb="FF243447"/>
        <rFont val="Linux Libertine G"/>
        <family val="2"/>
      </rPr>
      <t>로그로 교체</t>
    </r>
  </si>
  <si>
    <r>
      <rPr>
        <sz val="10"/>
        <color rgb="FF243447"/>
        <rFont val="Linux Libertine G"/>
        <family val="2"/>
      </rPr>
      <t>재시도</t>
    </r>
    <r>
      <rPr>
        <sz val="10"/>
        <color rgb="FF243447"/>
        <rFont val="Arial"/>
        <family val="2"/>
      </rPr>
      <t>·</t>
    </r>
    <r>
      <rPr>
        <sz val="10"/>
        <color rgb="FF243447"/>
        <rFont val="Linux Libertine G"/>
        <family val="2"/>
      </rPr>
      <t>부가 호출 배수</t>
    </r>
  </si>
  <si>
    <t>배</t>
  </si>
  <si>
    <t>요약 단계 수와 실패 재시도 포함</t>
  </si>
  <si>
    <r>
      <rPr>
        <sz val="10"/>
        <color rgb="FF243447"/>
        <rFont val="Arial"/>
        <family val="2"/>
      </rPr>
      <t xml:space="preserve">Gemini 3.8 Flash </t>
    </r>
    <r>
      <rPr>
        <sz val="10"/>
        <color rgb="FF243447"/>
        <rFont val="Linux Libertine G"/>
        <family val="2"/>
      </rPr>
      <t>사용 비중</t>
    </r>
  </si>
  <si>
    <r>
      <rPr>
        <sz val="10"/>
        <color rgb="FF243447"/>
        <rFont val="Linux Libertine G"/>
        <family val="2"/>
      </rPr>
      <t xml:space="preserve">나머지는 </t>
    </r>
    <r>
      <rPr>
        <sz val="10"/>
        <color rgb="FF243447"/>
        <rFont val="Arial"/>
        <family val="2"/>
      </rPr>
      <t xml:space="preserve">Flash Lite. </t>
    </r>
    <r>
      <rPr>
        <sz val="10"/>
        <color rgb="FF243447"/>
        <rFont val="Linux Libertine G"/>
        <family val="2"/>
      </rPr>
      <t xml:space="preserve">실제 기본 모델은 </t>
    </r>
    <r>
      <rPr>
        <sz val="10"/>
        <color rgb="FF243447"/>
        <rFont val="Arial"/>
        <family val="2"/>
      </rPr>
      <t>Flash Lite</t>
    </r>
  </si>
  <si>
    <r>
      <rPr>
        <sz val="10"/>
        <color rgb="FF243447"/>
        <rFont val="Arial"/>
        <family val="2"/>
      </rPr>
      <t xml:space="preserve">Flash Lite </t>
    </r>
    <r>
      <rPr>
        <sz val="10"/>
        <color rgb="FF243447"/>
        <rFont val="Linux Libertine G"/>
        <family val="2"/>
      </rPr>
      <t xml:space="preserve">입력 </t>
    </r>
    <r>
      <rPr>
        <sz val="10"/>
        <color rgb="FF243447"/>
        <rFont val="Arial"/>
        <family val="2"/>
      </rPr>
      <t>USD/100</t>
    </r>
    <r>
      <rPr>
        <sz val="10"/>
        <color rgb="FF243447"/>
        <rFont val="Linux Libertine G"/>
        <family val="2"/>
      </rPr>
      <t>만 토큰</t>
    </r>
  </si>
  <si>
    <t>USD</t>
  </si>
  <si>
    <t>공식 요금</t>
  </si>
  <si>
    <t>P3</t>
  </si>
  <si>
    <r>
      <rPr>
        <sz val="10"/>
        <color rgb="FF243447"/>
        <rFont val="Arial"/>
        <family val="2"/>
      </rPr>
      <t xml:space="preserve">OpenRouter Google Vertex </t>
    </r>
    <r>
      <rPr>
        <sz val="10"/>
        <color rgb="FF243447"/>
        <rFont val="Linux Libertine G"/>
        <family val="2"/>
      </rPr>
      <t>공개 단가</t>
    </r>
  </si>
  <si>
    <r>
      <rPr>
        <sz val="10"/>
        <color rgb="FF243447"/>
        <rFont val="Arial"/>
        <family val="2"/>
      </rPr>
      <t xml:space="preserve">Flash Lite </t>
    </r>
    <r>
      <rPr>
        <sz val="10"/>
        <color rgb="FF243447"/>
        <rFont val="Linux Libertine G"/>
        <family val="2"/>
      </rPr>
      <t xml:space="preserve">출력 </t>
    </r>
    <r>
      <rPr>
        <sz val="10"/>
        <color rgb="FF243447"/>
        <rFont val="Arial"/>
        <family val="2"/>
      </rPr>
      <t>USD/100</t>
    </r>
    <r>
      <rPr>
        <sz val="10"/>
        <color rgb="FF243447"/>
        <rFont val="Linux Libertine G"/>
        <family val="2"/>
      </rPr>
      <t>만 토큰</t>
    </r>
  </si>
  <si>
    <r>
      <rPr>
        <sz val="10"/>
        <color rgb="FF243447"/>
        <rFont val="Arial"/>
        <family val="2"/>
      </rPr>
      <t xml:space="preserve">3.8 Flash </t>
    </r>
    <r>
      <rPr>
        <sz val="10"/>
        <color rgb="FF243447"/>
        <rFont val="Linux Libertine G"/>
        <family val="2"/>
      </rPr>
      <t xml:space="preserve">입력 </t>
    </r>
    <r>
      <rPr>
        <sz val="10"/>
        <color rgb="FF243447"/>
        <rFont val="Arial"/>
        <family val="2"/>
      </rPr>
      <t>USD/100</t>
    </r>
    <r>
      <rPr>
        <sz val="10"/>
        <color rgb="FF243447"/>
        <rFont val="Linux Libertine G"/>
        <family val="2"/>
      </rPr>
      <t>만 토큰</t>
    </r>
  </si>
  <si>
    <t>보수적 가정</t>
  </si>
  <si>
    <t>P4</t>
  </si>
  <si>
    <r>
      <rPr>
        <sz val="10"/>
        <color rgb="FF243447"/>
        <rFont val="Arial"/>
        <family val="2"/>
      </rPr>
      <t xml:space="preserve">50% </t>
    </r>
    <r>
      <rPr>
        <sz val="10"/>
        <color rgb="FF243447"/>
        <rFont val="Linux Libertine G"/>
        <family val="2"/>
      </rPr>
      <t>한시 할인 이전 정가로 계획</t>
    </r>
  </si>
  <si>
    <r>
      <rPr>
        <sz val="10"/>
        <color rgb="FF243447"/>
        <rFont val="Arial"/>
        <family val="2"/>
      </rPr>
      <t xml:space="preserve">3.8 Flash </t>
    </r>
    <r>
      <rPr>
        <sz val="10"/>
        <color rgb="FF243447"/>
        <rFont val="Linux Libertine G"/>
        <family val="2"/>
      </rPr>
      <t xml:space="preserve">출력 </t>
    </r>
    <r>
      <rPr>
        <sz val="10"/>
        <color rgb="FF243447"/>
        <rFont val="Arial"/>
        <family val="2"/>
      </rPr>
      <t>USD/100</t>
    </r>
    <r>
      <rPr>
        <sz val="10"/>
        <color rgb="FF243447"/>
        <rFont val="Linux Libertine G"/>
        <family val="2"/>
      </rPr>
      <t>만 토큰</t>
    </r>
  </si>
  <si>
    <r>
      <rPr>
        <sz val="10"/>
        <color rgb="FF243447"/>
        <rFont val="Arial"/>
        <family val="2"/>
      </rPr>
      <t xml:space="preserve">OpenRouter </t>
    </r>
    <r>
      <rPr>
        <sz val="10"/>
        <color rgb="FF243447"/>
        <rFont val="Linux Libertine G"/>
        <family val="2"/>
      </rPr>
      <t>충전 수수료</t>
    </r>
  </si>
  <si>
    <t>P5</t>
  </si>
  <si>
    <r>
      <rPr>
        <sz val="10"/>
        <color rgb="FF243447"/>
        <rFont val="Linux Libertine G"/>
        <family val="2"/>
      </rPr>
      <t xml:space="preserve">크레딧 구매 수수료를 </t>
    </r>
    <r>
      <rPr>
        <sz val="10"/>
        <color rgb="FF243447"/>
        <rFont val="Arial"/>
        <family val="2"/>
      </rPr>
      <t xml:space="preserve">API </t>
    </r>
    <r>
      <rPr>
        <sz val="10"/>
        <color rgb="FF243447"/>
        <rFont val="Linux Libertine G"/>
        <family val="2"/>
      </rPr>
      <t>소비액에 비례 배분</t>
    </r>
  </si>
  <si>
    <r>
      <rPr>
        <sz val="10"/>
        <color rgb="FF243447"/>
        <rFont val="Arial"/>
        <family val="2"/>
      </rPr>
      <t xml:space="preserve">USD/KRW </t>
    </r>
    <r>
      <rPr>
        <sz val="10"/>
        <color rgb="FF243447"/>
        <rFont val="Linux Libertine G"/>
        <family val="2"/>
      </rPr>
      <t>계획 환율</t>
    </r>
  </si>
  <si>
    <r>
      <rPr>
        <sz val="10"/>
        <color rgb="FF243447"/>
        <rFont val="Linux Libertine G"/>
        <family val="2"/>
      </rPr>
      <t>시장 실시간 환율 아님</t>
    </r>
    <r>
      <rPr>
        <sz val="10"/>
        <color rgb="FF243447"/>
        <rFont val="Arial"/>
        <family val="2"/>
      </rPr>
      <t xml:space="preserve">. </t>
    </r>
    <r>
      <rPr>
        <sz val="10"/>
        <color rgb="FF243447"/>
        <rFont val="Linux Libertine G"/>
        <family val="2"/>
      </rPr>
      <t>환율 변동 민감도 조절</t>
    </r>
  </si>
  <si>
    <t>유료 비전 엔진 선택 비중</t>
  </si>
  <si>
    <r>
      <rPr>
        <sz val="10"/>
        <color rgb="FF243447"/>
        <rFont val="Linux Libertine G"/>
        <family val="2"/>
      </rPr>
      <t>별도 동의 및 프레임 전송 조건</t>
    </r>
    <r>
      <rPr>
        <sz val="10"/>
        <color rgb="FF243447"/>
        <rFont val="Arial"/>
        <family val="2"/>
      </rPr>
      <t xml:space="preserve">. </t>
    </r>
    <r>
      <rPr>
        <sz val="10"/>
        <color rgb="FF243447"/>
        <rFont val="Linux Libertine G"/>
        <family val="2"/>
      </rPr>
      <t xml:space="preserve">기본 </t>
    </r>
    <r>
      <rPr>
        <sz val="10"/>
        <color rgb="FF243447"/>
        <rFont val="Arial"/>
        <family val="2"/>
      </rPr>
      <t>0</t>
    </r>
  </si>
  <si>
    <r>
      <rPr>
        <sz val="10"/>
        <color rgb="FF243447"/>
        <rFont val="Linux Libertine G"/>
        <family val="2"/>
      </rPr>
      <t xml:space="preserve">비전 엔진 </t>
    </r>
    <r>
      <rPr>
        <sz val="10"/>
        <color rgb="FF243447"/>
        <rFont val="Arial"/>
        <family val="2"/>
      </rPr>
      <t>1</t>
    </r>
    <r>
      <rPr>
        <sz val="10"/>
        <color rgb="FF243447"/>
        <rFont val="Linux Libertine G"/>
        <family val="2"/>
      </rPr>
      <t>분당 원가</t>
    </r>
  </si>
  <si>
    <t>미측정</t>
  </si>
  <si>
    <r>
      <rPr>
        <sz val="10"/>
        <color rgb="FF243447"/>
        <rFont val="Linux Libertine G"/>
        <family val="2"/>
      </rPr>
      <t>프레임</t>
    </r>
    <r>
      <rPr>
        <sz val="10"/>
        <color rgb="FF243447"/>
        <rFont val="Arial"/>
        <family val="2"/>
      </rPr>
      <t>/</t>
    </r>
    <r>
      <rPr>
        <sz val="10"/>
        <color rgb="FF243447"/>
        <rFont val="Linux Libertine G"/>
        <family val="2"/>
      </rPr>
      <t xml:space="preserve">토큰 실측 전에는 </t>
    </r>
    <r>
      <rPr>
        <sz val="10"/>
        <color rgb="FF243447"/>
        <rFont val="Arial"/>
        <family val="2"/>
      </rPr>
      <t xml:space="preserve">0. </t>
    </r>
    <r>
      <rPr>
        <sz val="10"/>
        <color rgb="FF243447"/>
        <rFont val="Linux Libertine G"/>
        <family val="2"/>
      </rPr>
      <t>원가가 누락될 수 있음</t>
    </r>
  </si>
  <si>
    <r>
      <rPr>
        <b/>
        <sz val="10"/>
        <color rgb="FF17324D"/>
        <rFont val="Linux Libertine G"/>
        <family val="2"/>
      </rPr>
      <t xml:space="preserve">호스팅 </t>
    </r>
    <r>
      <rPr>
        <b/>
        <sz val="10"/>
        <color rgb="FF17324D"/>
        <rFont val="Arial"/>
        <family val="2"/>
      </rPr>
      <t xml:space="preserve">· </t>
    </r>
    <r>
      <rPr>
        <b/>
        <sz val="10"/>
        <color rgb="FF17324D"/>
        <rFont val="Linux Libertine G"/>
        <family val="2"/>
      </rPr>
      <t xml:space="preserve">결제 </t>
    </r>
    <r>
      <rPr>
        <b/>
        <sz val="10"/>
        <color rgb="FF17324D"/>
        <rFont val="Arial"/>
        <family val="2"/>
      </rPr>
      <t xml:space="preserve">· </t>
    </r>
    <r>
      <rPr>
        <b/>
        <sz val="10"/>
        <color rgb="FF17324D"/>
        <rFont val="Linux Libertine G"/>
        <family val="2"/>
      </rPr>
      <t xml:space="preserve">판관비 </t>
    </r>
    <r>
      <rPr>
        <b/>
        <sz val="10"/>
        <color rgb="FF17324D"/>
        <rFont val="Arial"/>
        <family val="2"/>
      </rPr>
      <t xml:space="preserve">· </t>
    </r>
    <r>
      <rPr>
        <b/>
        <sz val="10"/>
        <color rgb="FF17324D"/>
        <rFont val="Linux Libertine G"/>
        <family val="2"/>
      </rPr>
      <t>세금</t>
    </r>
  </si>
  <si>
    <r>
      <rPr>
        <sz val="10"/>
        <color rgb="FF243447"/>
        <rFont val="Arial"/>
        <family val="2"/>
      </rPr>
      <t xml:space="preserve">Vercel Pro </t>
    </r>
    <r>
      <rPr>
        <sz val="10"/>
        <color rgb="FF243447"/>
        <rFont val="Linux Libertine G"/>
        <family val="2"/>
      </rPr>
      <t>기본료</t>
    </r>
  </si>
  <si>
    <t>P1</t>
  </si>
  <si>
    <r>
      <rPr>
        <sz val="10"/>
        <color rgb="FF243447"/>
        <rFont val="Linux Libertine G"/>
        <family val="2"/>
      </rPr>
      <t xml:space="preserve">월 </t>
    </r>
    <r>
      <rPr>
        <sz val="10"/>
        <color rgb="FF243447"/>
        <rFont val="Arial"/>
        <family val="2"/>
      </rPr>
      <t>20</t>
    </r>
    <r>
      <rPr>
        <sz val="10"/>
        <color rgb="FF243447"/>
        <rFont val="Linux Libertine G"/>
        <family val="2"/>
      </rPr>
      <t>달러 플랫폼 요금</t>
    </r>
    <r>
      <rPr>
        <sz val="10"/>
        <color rgb="FF243447"/>
        <rFont val="Arial"/>
        <family val="2"/>
      </rPr>
      <t xml:space="preserve">. </t>
    </r>
    <r>
      <rPr>
        <sz val="10"/>
        <color rgb="FF243447"/>
        <rFont val="Linux Libertine G"/>
        <family val="2"/>
      </rPr>
      <t>사용량 크레딧 포함</t>
    </r>
  </si>
  <si>
    <r>
      <rPr>
        <sz val="10"/>
        <color rgb="FF243447"/>
        <rFont val="Arial"/>
        <family val="2"/>
      </rPr>
      <t xml:space="preserve">Vercel </t>
    </r>
    <r>
      <rPr>
        <sz val="10"/>
        <color rgb="FF243447"/>
        <rFont val="Linux Libertine G"/>
        <family val="2"/>
      </rPr>
      <t>기타 종량 비용</t>
    </r>
  </si>
  <si>
    <r>
      <rPr>
        <sz val="10"/>
        <color rgb="FF243447"/>
        <rFont val="Linux Libertine G"/>
        <family val="2"/>
      </rPr>
      <t xml:space="preserve">월 </t>
    </r>
    <r>
      <rPr>
        <sz val="10"/>
        <color rgb="FF243447"/>
        <rFont val="Arial"/>
        <family val="2"/>
      </rPr>
      <t xml:space="preserve">USD, Pro $20 </t>
    </r>
    <r>
      <rPr>
        <sz val="10"/>
        <color rgb="FF243447"/>
        <rFont val="Linux Libertine G"/>
        <family val="2"/>
      </rPr>
      <t>사용량 크레딧 적용 전 추가 비용</t>
    </r>
  </si>
  <si>
    <r>
      <rPr>
        <sz val="10"/>
        <color rgb="FF243447"/>
        <rFont val="Arial"/>
        <family val="2"/>
      </rPr>
      <t xml:space="preserve">Supabase Pro </t>
    </r>
    <r>
      <rPr>
        <sz val="10"/>
        <color rgb="FF243447"/>
        <rFont val="Linux Libertine G"/>
        <family val="2"/>
      </rPr>
      <t>기본료</t>
    </r>
  </si>
  <si>
    <t>P2</t>
  </si>
  <si>
    <t>첫 프로젝트 기본료</t>
  </si>
  <si>
    <r>
      <rPr>
        <sz val="10"/>
        <color rgb="FF243447"/>
        <rFont val="Arial"/>
        <family val="2"/>
      </rPr>
      <t>Supabase 10</t>
    </r>
    <r>
      <rPr>
        <sz val="10"/>
        <color rgb="FF243447"/>
        <rFont val="Linux Libertine G"/>
        <family val="2"/>
      </rPr>
      <t xml:space="preserve">만 </t>
    </r>
    <r>
      <rPr>
        <sz val="10"/>
        <color rgb="FF243447"/>
        <rFont val="Arial"/>
        <family val="2"/>
      </rPr>
      <t xml:space="preserve">MAU </t>
    </r>
    <r>
      <rPr>
        <sz val="10"/>
        <color rgb="FF243447"/>
        <rFont val="Linux Libertine G"/>
        <family val="2"/>
      </rPr>
      <t>초과 단가</t>
    </r>
  </si>
  <si>
    <r>
      <rPr>
        <sz val="10"/>
        <color rgb="FF243447"/>
        <rFont val="Linux Libertine G"/>
        <family val="2"/>
      </rPr>
      <t>활성 사용자 수에 적용</t>
    </r>
    <r>
      <rPr>
        <sz val="10"/>
        <color rgb="FF243447"/>
        <rFont val="Arial"/>
        <family val="2"/>
      </rPr>
      <t xml:space="preserve">. </t>
    </r>
    <r>
      <rPr>
        <sz val="10"/>
        <color rgb="FF243447"/>
        <rFont val="Linux Libertine G"/>
        <family val="2"/>
      </rPr>
      <t>기타 초과는 별도</t>
    </r>
  </si>
  <si>
    <r>
      <rPr>
        <sz val="10"/>
        <color rgb="FF243447"/>
        <rFont val="Arial"/>
        <family val="2"/>
      </rPr>
      <t xml:space="preserve">Supabase </t>
    </r>
    <r>
      <rPr>
        <sz val="10"/>
        <color rgb="FF243447"/>
        <rFont val="Linux Libertine G"/>
        <family val="2"/>
      </rPr>
      <t>기타 초과 사용료</t>
    </r>
  </si>
  <si>
    <r>
      <rPr>
        <sz val="10"/>
        <color rgb="FF243447"/>
        <rFont val="Linux Libertine G"/>
        <family val="2"/>
      </rPr>
      <t xml:space="preserve">월 </t>
    </r>
    <r>
      <rPr>
        <sz val="10"/>
        <color rgb="FF243447"/>
        <rFont val="Arial"/>
        <family val="2"/>
      </rPr>
      <t xml:space="preserve">USD, </t>
    </r>
    <r>
      <rPr>
        <sz val="10"/>
        <color rgb="FF243447"/>
        <rFont val="Linux Libertine G"/>
        <family val="2"/>
      </rPr>
      <t>아래 자동 계산 항목 외의 실청구 비용</t>
    </r>
  </si>
  <si>
    <t>카드 결제 비율 수수료</t>
  </si>
  <si>
    <t>참고 단가</t>
  </si>
  <si>
    <t>P6</t>
  </si>
  <si>
    <r>
      <rPr>
        <sz val="10"/>
        <color rgb="FF243447"/>
        <rFont val="Linux Libertine G"/>
        <family val="2"/>
      </rPr>
      <t>토스 일반카드 요율</t>
    </r>
    <r>
      <rPr>
        <sz val="10"/>
        <color rgb="FF243447"/>
        <rFont val="Arial"/>
        <family val="2"/>
      </rPr>
      <t xml:space="preserve">. </t>
    </r>
    <r>
      <rPr>
        <sz val="10"/>
        <color rgb="FF243447"/>
        <rFont val="Linux Libertine G"/>
        <family val="2"/>
      </rPr>
      <t>구독 자동결제 계약 시 확인</t>
    </r>
  </si>
  <si>
    <r>
      <rPr>
        <sz val="10"/>
        <color rgb="FF243447"/>
        <rFont val="Arial"/>
        <family val="2"/>
      </rPr>
      <t xml:space="preserve">PG </t>
    </r>
    <r>
      <rPr>
        <sz val="10"/>
        <color rgb="FF243447"/>
        <rFont val="Linux Libertine G"/>
        <family val="2"/>
      </rPr>
      <t>가입비</t>
    </r>
  </si>
  <si>
    <r>
      <rPr>
        <sz val="10"/>
        <color rgb="FF243447"/>
        <rFont val="Linux Libertine G"/>
        <family val="2"/>
      </rPr>
      <t xml:space="preserve">첫 달 </t>
    </r>
    <r>
      <rPr>
        <sz val="10"/>
        <color rgb="FF243447"/>
        <rFont val="Arial"/>
        <family val="2"/>
      </rPr>
      <t>1</t>
    </r>
    <r>
      <rPr>
        <sz val="10"/>
        <color rgb="FF243447"/>
        <rFont val="Linux Libertine G"/>
        <family val="2"/>
      </rPr>
      <t>회 반영</t>
    </r>
    <r>
      <rPr>
        <sz val="10"/>
        <color rgb="FF243447"/>
        <rFont val="Arial"/>
        <family val="2"/>
      </rPr>
      <t xml:space="preserve">. </t>
    </r>
    <r>
      <rPr>
        <sz val="10"/>
        <color rgb="FF243447"/>
        <rFont val="Linux Libertine G"/>
        <family val="2"/>
      </rPr>
      <t>계약별 변경 가능</t>
    </r>
  </si>
  <si>
    <r>
      <rPr>
        <sz val="10"/>
        <color rgb="FF243447"/>
        <rFont val="Arial"/>
        <family val="2"/>
      </rPr>
      <t xml:space="preserve">PG </t>
    </r>
    <r>
      <rPr>
        <sz val="10"/>
        <color rgb="FF243447"/>
        <rFont val="Linux Libertine G"/>
        <family val="2"/>
      </rPr>
      <t>연관리비</t>
    </r>
  </si>
  <si>
    <r>
      <rPr>
        <sz val="10"/>
        <color rgb="FF243447"/>
        <rFont val="Arial"/>
        <family val="2"/>
      </rPr>
      <t>1</t>
    </r>
    <r>
      <rPr>
        <sz val="10"/>
        <color rgb="FF243447"/>
        <rFont val="Linux Libertine G"/>
        <family val="2"/>
      </rPr>
      <t xml:space="preserve">개월과 </t>
    </r>
    <r>
      <rPr>
        <sz val="10"/>
        <color rgb="FF243447"/>
        <rFont val="Arial"/>
        <family val="2"/>
      </rPr>
      <t>13</t>
    </r>
    <r>
      <rPr>
        <sz val="10"/>
        <color rgb="FF243447"/>
        <rFont val="Linux Libertine G"/>
        <family val="2"/>
      </rPr>
      <t>개월 반영</t>
    </r>
  </si>
  <si>
    <t>활성 계정당 월 지원 비용</t>
  </si>
  <si>
    <r>
      <rPr>
        <sz val="10"/>
        <color rgb="FF243447"/>
        <rFont val="Linux Libertine G"/>
        <family val="2"/>
      </rPr>
      <t>인원 수 증가에 따른 지원</t>
    </r>
    <r>
      <rPr>
        <sz val="10"/>
        <color rgb="FF243447"/>
        <rFont val="Arial"/>
        <family val="2"/>
      </rPr>
      <t>·</t>
    </r>
    <r>
      <rPr>
        <sz val="10"/>
        <color rgb="FF243447"/>
        <rFont val="Linux Libertine G"/>
        <family val="2"/>
      </rPr>
      <t>운영 변동비</t>
    </r>
  </si>
  <si>
    <t>월 마케팅비</t>
  </si>
  <si>
    <r>
      <rPr>
        <sz val="10"/>
        <color rgb="FF243447"/>
        <rFont val="Linux Libertine G"/>
        <family val="2"/>
      </rPr>
      <t>유료 광고</t>
    </r>
    <r>
      <rPr>
        <sz val="10"/>
        <color rgb="FF243447"/>
        <rFont val="Arial"/>
        <family val="2"/>
      </rPr>
      <t>·</t>
    </r>
    <r>
      <rPr>
        <sz val="10"/>
        <color rgb="FF243447"/>
        <rFont val="Linux Libertine G"/>
        <family val="2"/>
      </rPr>
      <t>콘텐츠 제작 등</t>
    </r>
    <r>
      <rPr>
        <sz val="10"/>
        <color rgb="FF243447"/>
        <rFont val="Arial"/>
        <family val="2"/>
      </rPr>
      <t xml:space="preserve">. </t>
    </r>
    <r>
      <rPr>
        <sz val="10"/>
        <color rgb="FF243447"/>
        <rFont val="Linux Libertine G"/>
        <family val="2"/>
      </rPr>
      <t>오가닉과 비용 혼동 금지</t>
    </r>
  </si>
  <si>
    <r>
      <rPr>
        <sz val="10"/>
        <color rgb="FF243447"/>
        <rFont val="Linux Libertine G"/>
        <family val="2"/>
      </rPr>
      <t xml:space="preserve">월 인건비 </t>
    </r>
    <r>
      <rPr>
        <sz val="10"/>
        <color rgb="FF243447"/>
        <rFont val="Arial"/>
        <family val="2"/>
      </rPr>
      <t>(</t>
    </r>
    <r>
      <rPr>
        <sz val="10"/>
        <color rgb="FF243447"/>
        <rFont val="Linux Libertine G"/>
        <family val="2"/>
      </rPr>
      <t>직원 없음</t>
    </r>
    <r>
      <rPr>
        <sz val="10"/>
        <color rgb="FF243447"/>
        <rFont val="Arial"/>
        <family val="2"/>
      </rPr>
      <t>)</t>
    </r>
  </si>
  <si>
    <r>
      <rPr>
        <sz val="10"/>
        <color rgb="FF243447"/>
        <rFont val="Linux Libertine G"/>
        <family val="2"/>
      </rPr>
      <t xml:space="preserve">현재 직원 </t>
    </r>
    <r>
      <rPr>
        <sz val="10"/>
        <color rgb="FF243447"/>
        <rFont val="Arial"/>
        <family val="2"/>
      </rPr>
      <t>0</t>
    </r>
    <r>
      <rPr>
        <sz val="10"/>
        <color rgb="FF243447"/>
        <rFont val="Linux Libertine G"/>
        <family val="2"/>
      </rPr>
      <t>명</t>
    </r>
    <r>
      <rPr>
        <sz val="10"/>
        <color rgb="FF243447"/>
        <rFont val="Arial"/>
        <family val="2"/>
      </rPr>
      <t xml:space="preserve">. </t>
    </r>
    <r>
      <rPr>
        <sz val="10"/>
        <color rgb="FF243447"/>
        <rFont val="Linux Libertine G"/>
        <family val="2"/>
      </rPr>
      <t>채용 계획이 생기면 비용 입력</t>
    </r>
  </si>
  <si>
    <t>기타 월 판관비</t>
  </si>
  <si>
    <r>
      <rPr>
        <sz val="10"/>
        <color rgb="FF243447"/>
        <rFont val="Linux Libertine G"/>
        <family val="2"/>
      </rPr>
      <t>법무</t>
    </r>
    <r>
      <rPr>
        <sz val="10"/>
        <color rgb="FF243447"/>
        <rFont val="Arial"/>
        <family val="2"/>
      </rPr>
      <t>·</t>
    </r>
    <r>
      <rPr>
        <sz val="10"/>
        <color rgb="FF243447"/>
        <rFont val="Linux Libertine G"/>
        <family val="2"/>
      </rPr>
      <t>소프트웨어</t>
    </r>
    <r>
      <rPr>
        <sz val="10"/>
        <color rgb="FF243447"/>
        <rFont val="Arial"/>
        <family val="2"/>
      </rPr>
      <t>·</t>
    </r>
    <r>
      <rPr>
        <sz val="10"/>
        <color rgb="FF243447"/>
        <rFont val="Linux Libertine G"/>
        <family val="2"/>
      </rPr>
      <t>운영비</t>
    </r>
  </si>
  <si>
    <t>소비자 가격 포함 부가세율</t>
  </si>
  <si>
    <t>공식 세율</t>
  </si>
  <si>
    <t>P7</t>
  </si>
  <si>
    <t>매출을 공급가액과 부가세로 분리</t>
  </si>
  <si>
    <t>법인세 추정률</t>
  </si>
  <si>
    <t>단순화</t>
  </si>
  <si>
    <t>P8</t>
  </si>
  <si>
    <r>
      <rPr>
        <sz val="10"/>
        <color rgb="FF243447"/>
        <rFont val="Arial"/>
        <family val="2"/>
      </rPr>
      <t>2</t>
    </r>
    <r>
      <rPr>
        <sz val="10"/>
        <color rgb="FF243447"/>
        <rFont val="Linux Libertine G"/>
        <family val="2"/>
      </rPr>
      <t>억원 이하 구간 예시</t>
    </r>
    <r>
      <rPr>
        <sz val="10"/>
        <color rgb="FF243447"/>
        <rFont val="Arial"/>
        <family val="2"/>
      </rPr>
      <t xml:space="preserve">. </t>
    </r>
    <r>
      <rPr>
        <sz val="10"/>
        <color rgb="FF243447"/>
        <rFont val="Linux Libertine G"/>
        <family val="2"/>
      </rPr>
      <t>월 손실이월 단순 근사</t>
    </r>
  </si>
  <si>
    <r>
      <rPr>
        <b/>
        <sz val="10"/>
        <color rgb="FFFFFFFF"/>
        <rFont val="Linux Libertine G"/>
        <family val="2"/>
      </rPr>
      <t xml:space="preserve">추천 기간 </t>
    </r>
    <r>
      <rPr>
        <b/>
        <sz val="10"/>
        <color rgb="FFFFFFFF"/>
        <rFont val="Arial"/>
        <family val="2"/>
      </rPr>
      <t xml:space="preserve">· </t>
    </r>
    <r>
      <rPr>
        <b/>
        <sz val="10"/>
        <color rgb="FFFFFFFF"/>
        <rFont val="Linux Libertine G"/>
        <family val="2"/>
      </rPr>
      <t>인프라 사용량 레버</t>
    </r>
  </si>
  <si>
    <t>추천 캠페인 운영 개월</t>
  </si>
  <si>
    <t>사용자 조건</t>
  </si>
  <si>
    <r>
      <rPr>
        <sz val="10"/>
        <color rgb="FF243447"/>
        <rFont val="Arial"/>
        <family val="2"/>
      </rPr>
      <t>M1~M2</t>
    </r>
    <r>
      <rPr>
        <sz val="10"/>
        <color rgb="FF243447"/>
        <rFont val="Linux Libertine G"/>
        <family val="2"/>
      </rPr>
      <t>만 신규 추천 유입</t>
    </r>
    <r>
      <rPr>
        <sz val="10"/>
        <color rgb="FF243447"/>
        <rFont val="Arial"/>
        <family val="2"/>
      </rPr>
      <t>·</t>
    </r>
    <r>
      <rPr>
        <sz val="10"/>
        <color rgb="FF243447"/>
        <rFont val="Linux Libertine G"/>
        <family val="2"/>
      </rPr>
      <t>보상 자격 발생</t>
    </r>
  </si>
  <si>
    <r>
      <rPr>
        <sz val="10"/>
        <color rgb="FF243447"/>
        <rFont val="Arial"/>
        <family val="2"/>
      </rPr>
      <t xml:space="preserve">Vercel Hobby </t>
    </r>
    <r>
      <rPr>
        <sz val="10"/>
        <color rgb="FF243447"/>
        <rFont val="Linux Libertine G"/>
        <family val="2"/>
      </rPr>
      <t xml:space="preserve">사용 자격 </t>
    </r>
    <r>
      <rPr>
        <sz val="10"/>
        <color rgb="FF243447"/>
        <rFont val="Arial"/>
        <family val="2"/>
      </rPr>
      <t>(0=</t>
    </r>
    <r>
      <rPr>
        <sz val="10"/>
        <color rgb="FF243447"/>
        <rFont val="Linux Libertine G"/>
        <family val="2"/>
      </rPr>
      <t>상업</t>
    </r>
    <r>
      <rPr>
        <sz val="10"/>
        <color rgb="FF243447"/>
        <rFont val="Arial"/>
        <family val="2"/>
      </rPr>
      <t>, 1=</t>
    </r>
    <r>
      <rPr>
        <sz val="10"/>
        <color rgb="FF243447"/>
        <rFont val="Linux Libertine G"/>
        <family val="2"/>
      </rPr>
      <t>비상업</t>
    </r>
    <r>
      <rPr>
        <sz val="10"/>
        <color rgb="FF243447"/>
        <rFont val="Arial"/>
        <family val="2"/>
      </rPr>
      <t>)</t>
    </r>
  </si>
  <si>
    <t>0/1</t>
  </si>
  <si>
    <t>공식 약관</t>
  </si>
  <si>
    <r>
      <rPr>
        <sz val="10"/>
        <color rgb="FF243447"/>
        <rFont val="Linux Libertine G"/>
        <family val="2"/>
      </rPr>
      <t xml:space="preserve">상업 서비스 기본값 </t>
    </r>
    <r>
      <rPr>
        <sz val="10"/>
        <color rgb="FF243447"/>
        <rFont val="Arial"/>
        <family val="2"/>
      </rPr>
      <t xml:space="preserve">0: </t>
    </r>
    <r>
      <rPr>
        <sz val="10"/>
        <color rgb="FF243447"/>
        <rFont val="Linux Libertine G"/>
        <family val="2"/>
      </rPr>
      <t xml:space="preserve">첫달부터 </t>
    </r>
    <r>
      <rPr>
        <sz val="10"/>
        <color rgb="FF243447"/>
        <rFont val="Arial"/>
        <family val="2"/>
      </rPr>
      <t>Pro</t>
    </r>
  </si>
  <si>
    <t>방문자 → 신규 가입률</t>
  </si>
  <si>
    <r>
      <rPr>
        <sz val="10"/>
        <color rgb="FF243447"/>
        <rFont val="Linux Libertine G"/>
        <family val="2"/>
      </rPr>
      <t>유입 채널 통합 근사</t>
    </r>
    <r>
      <rPr>
        <sz val="10"/>
        <color rgb="FF243447"/>
        <rFont val="Arial"/>
        <family val="2"/>
      </rPr>
      <t xml:space="preserve">. </t>
    </r>
    <r>
      <rPr>
        <sz val="10"/>
        <color rgb="FF243447"/>
        <rFont val="Linux Libertine G"/>
        <family val="2"/>
      </rPr>
      <t>분석 도구 실측값으로 교체</t>
    </r>
  </si>
  <si>
    <r>
      <rPr>
        <sz val="10"/>
        <color rgb="FF243447"/>
        <rFont val="Linux Libertine G"/>
        <family val="2"/>
      </rPr>
      <t xml:space="preserve">방문자당 </t>
    </r>
    <r>
      <rPr>
        <sz val="10"/>
        <color rgb="FF243447"/>
        <rFont val="Arial"/>
        <family val="2"/>
      </rPr>
      <t xml:space="preserve">Edge </t>
    </r>
    <r>
      <rPr>
        <sz val="10"/>
        <color rgb="FF243447"/>
        <rFont val="Linux Libertine G"/>
        <family val="2"/>
      </rPr>
      <t>요청</t>
    </r>
  </si>
  <si>
    <t>회</t>
  </si>
  <si>
    <t>랜딩 웹 요청 수</t>
  </si>
  <si>
    <r>
      <rPr>
        <sz val="10"/>
        <color rgb="FF243447"/>
        <rFont val="Linux Libertine G"/>
        <family val="2"/>
      </rPr>
      <t xml:space="preserve">방문자당 </t>
    </r>
    <r>
      <rPr>
        <sz val="10"/>
        <color rgb="FF243447"/>
        <rFont val="Arial"/>
        <family val="2"/>
      </rPr>
      <t xml:space="preserve">Vercel </t>
    </r>
    <r>
      <rPr>
        <sz val="10"/>
        <color rgb="FF243447"/>
        <rFont val="Linux Libertine G"/>
        <family val="2"/>
      </rPr>
      <t>전송량</t>
    </r>
  </si>
  <si>
    <t>MB</t>
  </si>
  <si>
    <r>
      <rPr>
        <sz val="10"/>
        <color rgb="FF243447"/>
        <rFont val="Linux Libertine G"/>
        <family val="2"/>
      </rPr>
      <t>이미지</t>
    </r>
    <r>
      <rPr>
        <sz val="10"/>
        <color rgb="FF243447"/>
        <rFont val="Arial"/>
        <family val="2"/>
      </rPr>
      <t>·</t>
    </r>
    <r>
      <rPr>
        <sz val="10"/>
        <color rgb="FF243447"/>
        <rFont val="Linux Libertine G"/>
        <family val="2"/>
      </rPr>
      <t>스크립트 포함 랜딩 전송량</t>
    </r>
  </si>
  <si>
    <r>
      <rPr>
        <sz val="10"/>
        <color rgb="FF243447"/>
        <rFont val="Arial"/>
        <family val="2"/>
      </rPr>
      <t xml:space="preserve">Vercel Pro </t>
    </r>
    <r>
      <rPr>
        <sz val="10"/>
        <color rgb="FF243447"/>
        <rFont val="Linux Libertine G"/>
        <family val="2"/>
      </rPr>
      <t>포함 전송량</t>
    </r>
  </si>
  <si>
    <t>GB</t>
  </si>
  <si>
    <r>
      <rPr>
        <sz val="10"/>
        <color rgb="FF243447"/>
        <rFont val="Arial"/>
        <family val="2"/>
      </rPr>
      <t xml:space="preserve">1 TB / </t>
    </r>
    <r>
      <rPr>
        <sz val="10"/>
        <color rgb="FF243447"/>
        <rFont val="Linux Libertine G"/>
        <family val="2"/>
      </rPr>
      <t>월 근사</t>
    </r>
  </si>
  <si>
    <r>
      <rPr>
        <sz val="10"/>
        <color rgb="FF243447"/>
        <rFont val="Arial"/>
        <family val="2"/>
      </rPr>
      <t xml:space="preserve">Vercel Pro </t>
    </r>
    <r>
      <rPr>
        <sz val="10"/>
        <color rgb="FF243447"/>
        <rFont val="Linux Libertine G"/>
        <family val="2"/>
      </rPr>
      <t xml:space="preserve">포함 </t>
    </r>
    <r>
      <rPr>
        <sz val="10"/>
        <color rgb="FF243447"/>
        <rFont val="Arial"/>
        <family val="2"/>
      </rPr>
      <t xml:space="preserve">Edge </t>
    </r>
    <r>
      <rPr>
        <sz val="10"/>
        <color rgb="FF243447"/>
        <rFont val="Linux Libertine G"/>
        <family val="2"/>
      </rPr>
      <t>요청</t>
    </r>
  </si>
  <si>
    <r>
      <rPr>
        <sz val="10"/>
        <color rgb="FF243447"/>
        <rFont val="Linux Libertine G"/>
        <family val="2"/>
      </rPr>
      <t xml:space="preserve">월 </t>
    </r>
    <r>
      <rPr>
        <sz val="10"/>
        <color rgb="FF243447"/>
        <rFont val="Arial"/>
        <family val="2"/>
      </rPr>
      <t>1</t>
    </r>
    <r>
      <rPr>
        <sz val="10"/>
        <color rgb="FF243447"/>
        <rFont val="Linux Libertine G"/>
        <family val="2"/>
      </rPr>
      <t>천만 건</t>
    </r>
  </si>
  <si>
    <r>
      <rPr>
        <sz val="10"/>
        <color rgb="FF243447"/>
        <rFont val="Arial"/>
        <family val="2"/>
      </rPr>
      <t xml:space="preserve">Vercel </t>
    </r>
    <r>
      <rPr>
        <sz val="10"/>
        <color rgb="FF243447"/>
        <rFont val="Linux Libertine G"/>
        <family val="2"/>
      </rPr>
      <t>초과 전송 단가</t>
    </r>
  </si>
  <si>
    <t>USD/GB</t>
  </si>
  <si>
    <t>서울 지역 상한 단가로 보수적 근사</t>
  </si>
  <si>
    <r>
      <rPr>
        <sz val="10"/>
        <color rgb="FF243447"/>
        <rFont val="Arial"/>
        <family val="2"/>
      </rPr>
      <t xml:space="preserve">Vercel </t>
    </r>
    <r>
      <rPr>
        <sz val="10"/>
        <color rgb="FF243447"/>
        <rFont val="Linux Libertine G"/>
        <family val="2"/>
      </rPr>
      <t xml:space="preserve">초과 </t>
    </r>
    <r>
      <rPr>
        <sz val="10"/>
        <color rgb="FF243447"/>
        <rFont val="Arial"/>
        <family val="2"/>
      </rPr>
      <t xml:space="preserve">Edge </t>
    </r>
    <r>
      <rPr>
        <sz val="10"/>
        <color rgb="FF243447"/>
        <rFont val="Linux Libertine G"/>
        <family val="2"/>
      </rPr>
      <t>요청 단가</t>
    </r>
  </si>
  <si>
    <r>
      <rPr>
        <sz val="10"/>
        <color rgb="FF243447"/>
        <rFont val="Arial"/>
        <family val="2"/>
      </rPr>
      <t>USD/</t>
    </r>
    <r>
      <rPr>
        <sz val="10"/>
        <color rgb="FF243447"/>
        <rFont val="Linux Libertine G"/>
        <family val="2"/>
      </rPr>
      <t>백만건</t>
    </r>
  </si>
  <si>
    <r>
      <rPr>
        <sz val="10"/>
        <color rgb="FF243447"/>
        <rFont val="Arial"/>
        <family val="2"/>
      </rPr>
      <t xml:space="preserve">Vercel Hobby </t>
    </r>
    <r>
      <rPr>
        <sz val="10"/>
        <color rgb="FF243447"/>
        <rFont val="Linux Libertine G"/>
        <family val="2"/>
      </rPr>
      <t>포함 전송량</t>
    </r>
  </si>
  <si>
    <t>비상업 파일럿에서만 적용</t>
  </si>
  <si>
    <r>
      <rPr>
        <sz val="10"/>
        <color rgb="FF243447"/>
        <rFont val="Arial"/>
        <family val="2"/>
      </rPr>
      <t xml:space="preserve">Vercel Hobby </t>
    </r>
    <r>
      <rPr>
        <sz val="10"/>
        <color rgb="FF243447"/>
        <rFont val="Linux Libertine G"/>
        <family val="2"/>
      </rPr>
      <t xml:space="preserve">포함 </t>
    </r>
    <r>
      <rPr>
        <sz val="10"/>
        <color rgb="FF243447"/>
        <rFont val="Arial"/>
        <family val="2"/>
      </rPr>
      <t xml:space="preserve">Edge </t>
    </r>
    <r>
      <rPr>
        <sz val="10"/>
        <color rgb="FF243447"/>
        <rFont val="Linux Libertine G"/>
        <family val="2"/>
      </rPr>
      <t>요청</t>
    </r>
  </si>
  <si>
    <r>
      <rPr>
        <sz val="10"/>
        <color rgb="FF243447"/>
        <rFont val="Arial"/>
        <family val="2"/>
      </rPr>
      <t xml:space="preserve">Supabase Free </t>
    </r>
    <r>
      <rPr>
        <sz val="10"/>
        <color rgb="FF243447"/>
        <rFont val="Linux Libertine G"/>
        <family val="2"/>
      </rPr>
      <t xml:space="preserve">포함 </t>
    </r>
    <r>
      <rPr>
        <sz val="10"/>
        <color rgb="FF243447"/>
        <rFont val="Arial"/>
        <family val="2"/>
      </rPr>
      <t>MAU</t>
    </r>
  </si>
  <si>
    <t>월 활성 계정 한도</t>
  </si>
  <si>
    <r>
      <rPr>
        <sz val="10"/>
        <color rgb="FF243447"/>
        <rFont val="Arial"/>
        <family val="2"/>
      </rPr>
      <t xml:space="preserve">Supabase Free </t>
    </r>
    <r>
      <rPr>
        <sz val="10"/>
        <color rgb="FF243447"/>
        <rFont val="Linux Libertine G"/>
        <family val="2"/>
      </rPr>
      <t xml:space="preserve">포함 </t>
    </r>
    <r>
      <rPr>
        <sz val="10"/>
        <color rgb="FF243447"/>
        <rFont val="Arial"/>
        <family val="2"/>
      </rPr>
      <t>DB</t>
    </r>
  </si>
  <si>
    <t>500 MB</t>
  </si>
  <si>
    <r>
      <rPr>
        <sz val="10"/>
        <color rgb="FF243447"/>
        <rFont val="Arial"/>
        <family val="2"/>
      </rPr>
      <t xml:space="preserve">Supabase Free </t>
    </r>
    <r>
      <rPr>
        <sz val="10"/>
        <color rgb="FF243447"/>
        <rFont val="Linux Libertine G"/>
        <family val="2"/>
      </rPr>
      <t>포함 전송량</t>
    </r>
  </si>
  <si>
    <r>
      <rPr>
        <sz val="10"/>
        <color rgb="FF243447"/>
        <rFont val="Linux Libertine G"/>
        <family val="2"/>
      </rPr>
      <t xml:space="preserve">월 </t>
    </r>
    <r>
      <rPr>
        <sz val="10"/>
        <color rgb="FF243447"/>
        <rFont val="Arial"/>
        <family val="2"/>
      </rPr>
      <t>egress</t>
    </r>
  </si>
  <si>
    <r>
      <rPr>
        <sz val="10"/>
        <color rgb="FF243447"/>
        <rFont val="Arial"/>
        <family val="2"/>
      </rPr>
      <t xml:space="preserve">Supabase Free </t>
    </r>
    <r>
      <rPr>
        <sz val="10"/>
        <color rgb="FF243447"/>
        <rFont val="Linux Libertine G"/>
        <family val="2"/>
      </rPr>
      <t>포함 저장공간</t>
    </r>
  </si>
  <si>
    <r>
      <rPr>
        <sz val="10"/>
        <color rgb="FF243447"/>
        <rFont val="Arial"/>
        <family val="2"/>
      </rPr>
      <t xml:space="preserve">Storage </t>
    </r>
    <r>
      <rPr>
        <sz val="10"/>
        <color rgb="FF243447"/>
        <rFont val="Linux Libertine G"/>
        <family val="2"/>
      </rPr>
      <t>파일</t>
    </r>
  </si>
  <si>
    <r>
      <rPr>
        <sz val="10"/>
        <color rgb="FF243447"/>
        <rFont val="Arial"/>
        <family val="2"/>
      </rPr>
      <t xml:space="preserve">Supabase Pro </t>
    </r>
    <r>
      <rPr>
        <sz val="10"/>
        <color rgb="FF243447"/>
        <rFont val="Linux Libertine G"/>
        <family val="2"/>
      </rPr>
      <t xml:space="preserve">포함 </t>
    </r>
    <r>
      <rPr>
        <sz val="10"/>
        <color rgb="FF243447"/>
        <rFont val="Arial"/>
        <family val="2"/>
      </rPr>
      <t>MAU</t>
    </r>
  </si>
  <si>
    <t>월 활성 계정</t>
  </si>
  <si>
    <r>
      <rPr>
        <sz val="10"/>
        <color rgb="FF243447"/>
        <rFont val="Arial"/>
        <family val="2"/>
      </rPr>
      <t xml:space="preserve">Supabase Pro </t>
    </r>
    <r>
      <rPr>
        <sz val="10"/>
        <color rgb="FF243447"/>
        <rFont val="Linux Libertine G"/>
        <family val="2"/>
      </rPr>
      <t xml:space="preserve">포함 </t>
    </r>
    <r>
      <rPr>
        <sz val="10"/>
        <color rgb="FF243447"/>
        <rFont val="Arial"/>
        <family val="2"/>
      </rPr>
      <t>DB</t>
    </r>
  </si>
  <si>
    <r>
      <rPr>
        <sz val="10"/>
        <color rgb="FF243447"/>
        <rFont val="Arial"/>
        <family val="2"/>
      </rPr>
      <t xml:space="preserve">DB </t>
    </r>
    <r>
      <rPr>
        <sz val="10"/>
        <color rgb="FF243447"/>
        <rFont val="Linux Libertine G"/>
        <family val="2"/>
      </rPr>
      <t>초과는 종량</t>
    </r>
  </si>
  <si>
    <r>
      <rPr>
        <sz val="10"/>
        <color rgb="FF243447"/>
        <rFont val="Arial"/>
        <family val="2"/>
      </rPr>
      <t xml:space="preserve">Supabase Pro </t>
    </r>
    <r>
      <rPr>
        <sz val="10"/>
        <color rgb="FF243447"/>
        <rFont val="Linux Libertine G"/>
        <family val="2"/>
      </rPr>
      <t>포함 전송량</t>
    </r>
  </si>
  <si>
    <r>
      <rPr>
        <sz val="10"/>
        <color rgb="FF243447"/>
        <rFont val="Arial"/>
        <family val="2"/>
      </rPr>
      <t xml:space="preserve">Supabase Pro </t>
    </r>
    <r>
      <rPr>
        <sz val="10"/>
        <color rgb="FF243447"/>
        <rFont val="Linux Libertine G"/>
        <family val="2"/>
      </rPr>
      <t>포함 저장공간</t>
    </r>
  </si>
  <si>
    <r>
      <rPr>
        <sz val="10"/>
        <color rgb="FF243447"/>
        <rFont val="Linux Libertine G"/>
        <family val="2"/>
      </rPr>
      <t xml:space="preserve">가입 계정당 </t>
    </r>
    <r>
      <rPr>
        <sz val="10"/>
        <color rgb="FF243447"/>
        <rFont val="Arial"/>
        <family val="2"/>
      </rPr>
      <t xml:space="preserve">DB </t>
    </r>
    <r>
      <rPr>
        <sz val="10"/>
        <color rgb="FF243447"/>
        <rFont val="Linux Libertine G"/>
        <family val="2"/>
      </rPr>
      <t>용량</t>
    </r>
  </si>
  <si>
    <r>
      <rPr>
        <sz val="10"/>
        <color rgb="FF243447"/>
        <rFont val="Linux Libertine G"/>
        <family val="2"/>
      </rPr>
      <t>메타데이터</t>
    </r>
    <r>
      <rPr>
        <sz val="10"/>
        <color rgb="FF243447"/>
        <rFont val="Arial"/>
        <family val="2"/>
      </rPr>
      <t>·</t>
    </r>
    <r>
      <rPr>
        <sz val="10"/>
        <color rgb="FF243447"/>
        <rFont val="Linux Libertine G"/>
        <family val="2"/>
      </rPr>
      <t>암호문만</t>
    </r>
    <r>
      <rPr>
        <sz val="10"/>
        <color rgb="FF243447"/>
        <rFont val="Arial"/>
        <family val="2"/>
      </rPr>
      <t xml:space="preserve">; </t>
    </r>
    <r>
      <rPr>
        <sz val="10"/>
        <color rgb="FF243447"/>
        <rFont val="Linux Libertine G"/>
        <family val="2"/>
      </rPr>
      <t xml:space="preserve">실제 </t>
    </r>
    <r>
      <rPr>
        <sz val="10"/>
        <color rgb="FF243447"/>
        <rFont val="Arial"/>
        <family val="2"/>
      </rPr>
      <t xml:space="preserve">DB </t>
    </r>
    <r>
      <rPr>
        <sz val="10"/>
        <color rgb="FF243447"/>
        <rFont val="Linux Libertine G"/>
        <family val="2"/>
      </rPr>
      <t>실측으로 교체</t>
    </r>
  </si>
  <si>
    <t>활성 계정당 월 전송량</t>
  </si>
  <si>
    <r>
      <rPr>
        <sz val="10"/>
        <color rgb="FF243447"/>
        <rFont val="Arial"/>
        <family val="2"/>
      </rPr>
      <t xml:space="preserve">Supabase </t>
    </r>
    <r>
      <rPr>
        <sz val="10"/>
        <color rgb="FF243447"/>
        <rFont val="Linux Libertine G"/>
        <family val="2"/>
      </rPr>
      <t xml:space="preserve">네트워크 </t>
    </r>
    <r>
      <rPr>
        <sz val="10"/>
        <color rgb="FF243447"/>
        <rFont val="Arial"/>
        <family val="2"/>
      </rPr>
      <t>egress</t>
    </r>
    <r>
      <rPr>
        <sz val="10"/>
        <color rgb="FF243447"/>
        <rFont val="Linux Libertine G"/>
        <family val="2"/>
      </rPr>
      <t>만</t>
    </r>
  </si>
  <si>
    <t>가입 계정당 파일 저장량</t>
  </si>
  <si>
    <t>선택적 암호화 아카이브만</t>
  </si>
  <si>
    <r>
      <rPr>
        <sz val="10"/>
        <color rgb="FF000000"/>
        <rFont val="Arial"/>
        <family val="2"/>
      </rPr>
      <t xml:space="preserve">Supabase Pro DB </t>
    </r>
    <r>
      <rPr>
        <sz val="10"/>
        <color rgb="FF000000"/>
        <rFont val="Linux Libertine G"/>
        <family val="2"/>
      </rPr>
      <t>초과 단가</t>
    </r>
  </si>
  <si>
    <r>
      <rPr>
        <sz val="11"/>
        <color rgb="FF000000"/>
        <rFont val="Calibri"/>
        <family val="2"/>
      </rPr>
      <t xml:space="preserve">8GB </t>
    </r>
    <r>
      <rPr>
        <sz val="11"/>
        <color rgb="FF000000"/>
        <rFont val="Linux Libertine G"/>
        <family val="2"/>
      </rPr>
      <t>초과</t>
    </r>
  </si>
  <si>
    <r>
      <rPr>
        <sz val="10"/>
        <color rgb="FF000000"/>
        <rFont val="Arial"/>
        <family val="2"/>
      </rPr>
      <t xml:space="preserve">Supabase Pro </t>
    </r>
    <r>
      <rPr>
        <sz val="10"/>
        <color rgb="FF000000"/>
        <rFont val="Linux Libertine G"/>
        <family val="2"/>
      </rPr>
      <t>전송 초과 단가</t>
    </r>
  </si>
  <si>
    <r>
      <rPr>
        <sz val="11"/>
        <color rgb="FF000000"/>
        <rFont val="Calibri"/>
        <family val="2"/>
      </rPr>
      <t xml:space="preserve">250GB </t>
    </r>
    <r>
      <rPr>
        <sz val="11"/>
        <color rgb="FF000000"/>
        <rFont val="Linux Libertine G"/>
        <family val="2"/>
      </rPr>
      <t>초과</t>
    </r>
  </si>
  <si>
    <r>
      <rPr>
        <sz val="10"/>
        <color rgb="FF000000"/>
        <rFont val="Arial"/>
        <family val="2"/>
      </rPr>
      <t xml:space="preserve">Supabase Pro </t>
    </r>
    <r>
      <rPr>
        <sz val="10"/>
        <color rgb="FF000000"/>
        <rFont val="Linux Libertine G"/>
        <family val="2"/>
      </rPr>
      <t>저장 초과 단가</t>
    </r>
  </si>
  <si>
    <r>
      <rPr>
        <sz val="11"/>
        <color rgb="FF000000"/>
        <rFont val="Calibri"/>
        <family val="2"/>
      </rPr>
      <t xml:space="preserve">100GB </t>
    </r>
    <r>
      <rPr>
        <sz val="11"/>
        <color rgb="FF000000"/>
        <rFont val="Linux Libertine G"/>
        <family val="2"/>
      </rPr>
      <t>초과</t>
    </r>
  </si>
  <si>
    <r>
      <rPr>
        <b/>
        <sz val="15"/>
        <color rgb="FF17324D"/>
        <rFont val="Arial"/>
        <family val="2"/>
      </rPr>
      <t>24</t>
    </r>
    <r>
      <rPr>
        <b/>
        <sz val="15"/>
        <color rgb="FF17324D"/>
        <rFont val="Linux Libertine G"/>
        <family val="2"/>
      </rPr>
      <t xml:space="preserve">개월 월별 가입 </t>
    </r>
    <r>
      <rPr>
        <b/>
        <sz val="15"/>
        <color rgb="FF17324D"/>
        <rFont val="Arial"/>
        <family val="2"/>
      </rPr>
      <t xml:space="preserve">· </t>
    </r>
    <r>
      <rPr>
        <b/>
        <sz val="15"/>
        <color rgb="FF17324D"/>
        <rFont val="Linux Libertine G"/>
        <family val="2"/>
      </rPr>
      <t xml:space="preserve">매출 </t>
    </r>
    <r>
      <rPr>
        <b/>
        <sz val="15"/>
        <color rgb="FF17324D"/>
        <rFont val="Arial"/>
        <family val="2"/>
      </rPr>
      <t xml:space="preserve">· </t>
    </r>
    <r>
      <rPr>
        <b/>
        <sz val="15"/>
        <color rgb="FF17324D"/>
        <rFont val="Linux Libertine G"/>
        <family val="2"/>
      </rPr>
      <t>손익</t>
    </r>
  </si>
  <si>
    <r>
      <rPr>
        <b/>
        <sz val="10"/>
        <color rgb="FFFFFFFF"/>
        <rFont val="Linux Libertine G"/>
        <family val="2"/>
      </rPr>
      <t xml:space="preserve">유입 </t>
    </r>
    <r>
      <rPr>
        <b/>
        <sz val="10"/>
        <color rgb="FFFFFFFF"/>
        <rFont val="Arial"/>
        <family val="2"/>
      </rPr>
      <t xml:space="preserve">· </t>
    </r>
    <r>
      <rPr>
        <b/>
        <sz val="10"/>
        <color rgb="FFFFFFFF"/>
        <rFont val="Linux Libertine G"/>
        <family val="2"/>
      </rPr>
      <t>카드 등록</t>
    </r>
  </si>
  <si>
    <t>출시 시 사전예약 명단</t>
  </si>
  <si>
    <t>사전예약 → 실제 가입</t>
  </si>
  <si>
    <r>
      <rPr>
        <sz val="10"/>
        <color rgb="FF243447"/>
        <rFont val="Linux Libertine G"/>
        <family val="2"/>
      </rPr>
      <t xml:space="preserve">사전예약 카드 등록 </t>
    </r>
    <r>
      <rPr>
        <sz val="10"/>
        <color rgb="FF243447"/>
        <rFont val="Arial"/>
        <family val="2"/>
      </rPr>
      <t xml:space="preserve">· </t>
    </r>
    <r>
      <rPr>
        <sz val="10"/>
        <color rgb="FF243447"/>
        <rFont val="Linux Libertine G"/>
        <family val="2"/>
      </rPr>
      <t>첫달 무료</t>
    </r>
  </si>
  <si>
    <t>오가닉 신규 가입</t>
  </si>
  <si>
    <r>
      <rPr>
        <sz val="10"/>
        <color rgb="FF243447"/>
        <rFont val="Linux Libertine G"/>
        <family val="2"/>
      </rPr>
      <t xml:space="preserve">추천 코드 </t>
    </r>
    <r>
      <rPr>
        <sz val="10"/>
        <color rgb="FF243447"/>
        <rFont val="Arial"/>
        <family val="2"/>
      </rPr>
      <t>2</t>
    </r>
    <r>
      <rPr>
        <sz val="10"/>
        <color rgb="FF243447"/>
        <rFont val="Linux Libertine G"/>
        <family val="2"/>
      </rPr>
      <t>개 공유자</t>
    </r>
  </si>
  <si>
    <t>추천 코드 신규 가입</t>
  </si>
  <si>
    <t>추천 카드 등록 체험</t>
  </si>
  <si>
    <t>전체 신규 가입</t>
  </si>
  <si>
    <t>신규 카드 등록</t>
  </si>
  <si>
    <r>
      <rPr>
        <b/>
        <sz val="10"/>
        <color rgb="FFFFFFFF"/>
        <rFont val="Linux Libertine G"/>
        <family val="2"/>
      </rPr>
      <t xml:space="preserve">가입 전환 </t>
    </r>
    <r>
      <rPr>
        <b/>
        <sz val="10"/>
        <color rgb="FFFFFFFF"/>
        <rFont val="Arial"/>
        <family val="2"/>
      </rPr>
      <t xml:space="preserve">· </t>
    </r>
    <r>
      <rPr>
        <b/>
        <sz val="10"/>
        <color rgb="FFFFFFFF"/>
        <rFont val="Linux Libertine G"/>
        <family val="2"/>
      </rPr>
      <t>고객 유지</t>
    </r>
  </si>
  <si>
    <t>추천 신규 유료</t>
  </si>
  <si>
    <t>사전예약 무료월 후 유료</t>
  </si>
  <si>
    <t>전체 신규 유료</t>
  </si>
  <si>
    <r>
      <rPr>
        <sz val="10"/>
        <color rgb="FF243447"/>
        <rFont val="Arial"/>
        <family val="2"/>
      </rPr>
      <t xml:space="preserve">Essential </t>
    </r>
    <r>
      <rPr>
        <sz val="10"/>
        <color rgb="FF243447"/>
        <rFont val="Linux Libertine G"/>
        <family val="2"/>
      </rPr>
      <t>기초 유료</t>
    </r>
  </si>
  <si>
    <t>학생가 기초 유료</t>
  </si>
  <si>
    <r>
      <rPr>
        <sz val="10"/>
        <color rgb="FF243447"/>
        <rFont val="Arial"/>
        <family val="2"/>
      </rPr>
      <t xml:space="preserve">Pro </t>
    </r>
    <r>
      <rPr>
        <sz val="10"/>
        <color rgb="FF243447"/>
        <rFont val="Linux Libertine G"/>
        <family val="2"/>
      </rPr>
      <t>기초 유료</t>
    </r>
  </si>
  <si>
    <r>
      <rPr>
        <sz val="10"/>
        <color rgb="FF243447"/>
        <rFont val="Arial"/>
        <family val="2"/>
      </rPr>
      <t xml:space="preserve">Essential </t>
    </r>
    <r>
      <rPr>
        <sz val="10"/>
        <color rgb="FF243447"/>
        <rFont val="Linux Libertine G"/>
        <family val="2"/>
      </rPr>
      <t>이탈</t>
    </r>
  </si>
  <si>
    <t>학생가 이탈</t>
  </si>
  <si>
    <r>
      <rPr>
        <sz val="10"/>
        <color rgb="FF243447"/>
        <rFont val="Arial"/>
        <family val="2"/>
      </rPr>
      <t xml:space="preserve">Pro </t>
    </r>
    <r>
      <rPr>
        <sz val="10"/>
        <color rgb="FF243447"/>
        <rFont val="Linux Libertine G"/>
        <family val="2"/>
      </rPr>
      <t>이탈</t>
    </r>
  </si>
  <si>
    <r>
      <rPr>
        <sz val="10"/>
        <color rgb="FF243447"/>
        <rFont val="Arial"/>
        <family val="2"/>
      </rPr>
      <t xml:space="preserve">Essential </t>
    </r>
    <r>
      <rPr>
        <sz val="10"/>
        <color rgb="FF243447"/>
        <rFont val="Linux Libertine G"/>
        <family val="2"/>
      </rPr>
      <t>신규 유료</t>
    </r>
  </si>
  <si>
    <t>학생가 신규 유료</t>
  </si>
  <si>
    <r>
      <rPr>
        <sz val="10"/>
        <color rgb="FF243447"/>
        <rFont val="Arial"/>
        <family val="2"/>
      </rPr>
      <t xml:space="preserve">Pro </t>
    </r>
    <r>
      <rPr>
        <sz val="10"/>
        <color rgb="FF243447"/>
        <rFont val="Linux Libertine G"/>
        <family val="2"/>
      </rPr>
      <t>신규 유료</t>
    </r>
  </si>
  <si>
    <r>
      <rPr>
        <sz val="10"/>
        <color rgb="FF243447"/>
        <rFont val="Arial"/>
        <family val="2"/>
      </rPr>
      <t xml:space="preserve">Essential </t>
    </r>
    <r>
      <rPr>
        <sz val="10"/>
        <color rgb="FF243447"/>
        <rFont val="Linux Libertine G"/>
        <family val="2"/>
      </rPr>
      <t>기말 유료</t>
    </r>
  </si>
  <si>
    <t>학생가 기말 유료</t>
  </si>
  <si>
    <r>
      <rPr>
        <sz val="10"/>
        <color rgb="FF243447"/>
        <rFont val="Arial"/>
        <family val="2"/>
      </rPr>
      <t xml:space="preserve">Pro </t>
    </r>
    <r>
      <rPr>
        <sz val="10"/>
        <color rgb="FF243447"/>
        <rFont val="Linux Libertine G"/>
        <family val="2"/>
      </rPr>
      <t>기말 유료</t>
    </r>
  </si>
  <si>
    <t>전체 기말 유료</t>
  </si>
  <si>
    <r>
      <rPr>
        <sz val="10"/>
        <color rgb="FF243447"/>
        <rFont val="Arial"/>
        <family val="2"/>
      </rPr>
      <t xml:space="preserve">Free </t>
    </r>
    <r>
      <rPr>
        <sz val="10"/>
        <color rgb="FF243447"/>
        <rFont val="Linux Libertine G"/>
        <family val="2"/>
      </rPr>
      <t>기초 활성</t>
    </r>
  </si>
  <si>
    <r>
      <rPr>
        <sz val="10"/>
        <color rgb="FF243447"/>
        <rFont val="Linux Libertine G"/>
        <family val="2"/>
      </rPr>
      <t>체험</t>
    </r>
    <r>
      <rPr>
        <sz val="10"/>
        <color rgb="FF243447"/>
        <rFont val="Arial"/>
        <family val="2"/>
      </rPr>
      <t>/</t>
    </r>
    <r>
      <rPr>
        <sz val="10"/>
        <color rgb="FF243447"/>
        <rFont val="Linux Libertine G"/>
        <family val="2"/>
      </rPr>
      <t xml:space="preserve">무료월 종료 후 </t>
    </r>
    <r>
      <rPr>
        <sz val="10"/>
        <color rgb="FF243447"/>
        <rFont val="Arial"/>
        <family val="2"/>
      </rPr>
      <t>Free</t>
    </r>
  </si>
  <si>
    <r>
      <rPr>
        <sz val="10"/>
        <color rgb="FF243447"/>
        <rFont val="Linux Libertine G"/>
        <family val="2"/>
      </rPr>
      <t xml:space="preserve">유료 이탈 후 </t>
    </r>
    <r>
      <rPr>
        <sz val="10"/>
        <color rgb="FF243447"/>
        <rFont val="Arial"/>
        <family val="2"/>
      </rPr>
      <t>Free</t>
    </r>
  </si>
  <si>
    <r>
      <rPr>
        <sz val="10"/>
        <color rgb="FF243447"/>
        <rFont val="Arial"/>
        <family val="2"/>
      </rPr>
      <t xml:space="preserve">Free </t>
    </r>
    <r>
      <rPr>
        <sz val="10"/>
        <color rgb="FF243447"/>
        <rFont val="Linux Libertine G"/>
        <family val="2"/>
      </rPr>
      <t>비활성 이탈</t>
    </r>
  </si>
  <si>
    <r>
      <rPr>
        <b/>
        <sz val="10"/>
        <color rgb="FF17324D"/>
        <rFont val="Arial"/>
        <family val="2"/>
      </rPr>
      <t xml:space="preserve">Free </t>
    </r>
    <r>
      <rPr>
        <b/>
        <sz val="10"/>
        <color rgb="FF17324D"/>
        <rFont val="Linux Libertine G"/>
        <family val="2"/>
      </rPr>
      <t>기말 활성</t>
    </r>
  </si>
  <si>
    <t>사전예약 첫달 무료 활성</t>
  </si>
  <si>
    <r>
      <rPr>
        <sz val="10"/>
        <color rgb="FF243447"/>
        <rFont val="Linux Libertine G"/>
        <family val="2"/>
      </rPr>
      <t xml:space="preserve">추천 </t>
    </r>
    <r>
      <rPr>
        <sz val="10"/>
        <color rgb="FF243447"/>
        <rFont val="Arial"/>
        <family val="2"/>
      </rPr>
      <t>2</t>
    </r>
    <r>
      <rPr>
        <sz val="10"/>
        <color rgb="FF243447"/>
        <rFont val="Linux Libertine G"/>
        <family val="2"/>
      </rPr>
      <t xml:space="preserve">건 달성 </t>
    </r>
    <r>
      <rPr>
        <sz val="10"/>
        <color rgb="FF243447"/>
        <rFont val="Arial"/>
        <family val="2"/>
      </rPr>
      <t xml:space="preserve">· </t>
    </r>
    <r>
      <rPr>
        <sz val="10"/>
        <color rgb="FF243447"/>
        <rFont val="Linux Libertine G"/>
        <family val="2"/>
      </rPr>
      <t>무료월 획득</t>
    </r>
  </si>
  <si>
    <t>추천 무료월 사용</t>
  </si>
  <si>
    <t>매출</t>
  </si>
  <si>
    <r>
      <rPr>
        <sz val="10"/>
        <color rgb="FF243447"/>
        <rFont val="Linux Libertine G"/>
        <family val="2"/>
      </rPr>
      <t xml:space="preserve">유료 서비스 정가 총액 </t>
    </r>
    <r>
      <rPr>
        <sz val="10"/>
        <color rgb="FF243447"/>
        <rFont val="Arial"/>
        <family val="2"/>
      </rPr>
      <t xml:space="preserve">(VAT </t>
    </r>
    <r>
      <rPr>
        <sz val="10"/>
        <color rgb="FF243447"/>
        <rFont val="Linux Libertine G"/>
        <family val="2"/>
      </rPr>
      <t>포함</t>
    </r>
    <r>
      <rPr>
        <sz val="10"/>
        <color rgb="FF243447"/>
        <rFont val="Arial"/>
        <family val="2"/>
      </rPr>
      <t>)</t>
    </r>
  </si>
  <si>
    <r>
      <rPr>
        <sz val="10"/>
        <color rgb="FF243447"/>
        <rFont val="Linux Libertine G"/>
        <family val="2"/>
      </rPr>
      <t xml:space="preserve">사전예약 첫달 할인 </t>
    </r>
    <r>
      <rPr>
        <sz val="10"/>
        <color rgb="FF243447"/>
        <rFont val="Arial"/>
        <family val="2"/>
      </rPr>
      <t xml:space="preserve">(VAT </t>
    </r>
    <r>
      <rPr>
        <sz val="10"/>
        <color rgb="FF243447"/>
        <rFont val="Linux Libertine G"/>
        <family val="2"/>
      </rPr>
      <t>포함</t>
    </r>
    <r>
      <rPr>
        <sz val="10"/>
        <color rgb="FF243447"/>
        <rFont val="Arial"/>
        <family val="2"/>
      </rPr>
      <t>)</t>
    </r>
  </si>
  <si>
    <r>
      <rPr>
        <sz val="10"/>
        <color rgb="FF243447"/>
        <rFont val="Linux Libertine G"/>
        <family val="2"/>
      </rPr>
      <t xml:space="preserve">추천 무료월 할인 </t>
    </r>
    <r>
      <rPr>
        <sz val="10"/>
        <color rgb="FF243447"/>
        <rFont val="Arial"/>
        <family val="2"/>
      </rPr>
      <t xml:space="preserve">(VAT </t>
    </r>
    <r>
      <rPr>
        <sz val="10"/>
        <color rgb="FF243447"/>
        <rFont val="Linux Libertine G"/>
        <family val="2"/>
      </rPr>
      <t>포함</t>
    </r>
    <r>
      <rPr>
        <sz val="10"/>
        <color rgb="FF243447"/>
        <rFont val="Arial"/>
        <family val="2"/>
      </rPr>
      <t>)</t>
    </r>
  </si>
  <si>
    <r>
      <rPr>
        <b/>
        <sz val="10"/>
        <color rgb="FF17324D"/>
        <rFont val="Linux Libertine G"/>
        <family val="2"/>
      </rPr>
      <t xml:space="preserve">고객 결제액 </t>
    </r>
    <r>
      <rPr>
        <b/>
        <sz val="10"/>
        <color rgb="FF17324D"/>
        <rFont val="Arial"/>
        <family val="2"/>
      </rPr>
      <t xml:space="preserve">(VAT </t>
    </r>
    <r>
      <rPr>
        <b/>
        <sz val="10"/>
        <color rgb="FF17324D"/>
        <rFont val="Linux Libertine G"/>
        <family val="2"/>
      </rPr>
      <t>포함</t>
    </r>
    <r>
      <rPr>
        <b/>
        <sz val="10"/>
        <color rgb="FF17324D"/>
        <rFont val="Arial"/>
        <family val="2"/>
      </rPr>
      <t>)</t>
    </r>
  </si>
  <si>
    <t>매출 부가세 분리</t>
  </si>
  <si>
    <r>
      <rPr>
        <b/>
        <sz val="10"/>
        <color rgb="FF17324D"/>
        <rFont val="Linux Libertine G"/>
        <family val="2"/>
      </rPr>
      <t xml:space="preserve">순매출 </t>
    </r>
    <r>
      <rPr>
        <b/>
        <sz val="10"/>
        <color rgb="FF17324D"/>
        <rFont val="Arial"/>
        <family val="2"/>
      </rPr>
      <t xml:space="preserve">(VAT </t>
    </r>
    <r>
      <rPr>
        <b/>
        <sz val="10"/>
        <color rgb="FF17324D"/>
        <rFont val="Linux Libertine G"/>
        <family val="2"/>
      </rPr>
      <t>제외</t>
    </r>
    <r>
      <rPr>
        <b/>
        <sz val="10"/>
        <color rgb="FF17324D"/>
        <rFont val="Arial"/>
        <family val="2"/>
      </rPr>
      <t>)</t>
    </r>
  </si>
  <si>
    <t>실제 결제 고객 수</t>
  </si>
  <si>
    <r>
      <rPr>
        <b/>
        <sz val="10"/>
        <color rgb="FFFFFFFF"/>
        <rFont val="Linux Libertine G"/>
        <family val="2"/>
      </rPr>
      <t xml:space="preserve">사용량 </t>
    </r>
    <r>
      <rPr>
        <b/>
        <sz val="10"/>
        <color rgb="FFFFFFFF"/>
        <rFont val="Arial"/>
        <family val="2"/>
      </rPr>
      <t xml:space="preserve">· </t>
    </r>
    <r>
      <rPr>
        <b/>
        <sz val="10"/>
        <color rgb="FFFFFFFF"/>
        <rFont val="Linux Libertine G"/>
        <family val="2"/>
      </rPr>
      <t xml:space="preserve">원가 </t>
    </r>
    <r>
      <rPr>
        <b/>
        <sz val="10"/>
        <color rgb="FFFFFFFF"/>
        <rFont val="Arial"/>
        <family val="2"/>
      </rPr>
      <t xml:space="preserve">· </t>
    </r>
    <r>
      <rPr>
        <b/>
        <sz val="10"/>
        <color rgb="FFFFFFFF"/>
        <rFont val="Linux Libertine G"/>
        <family val="2"/>
      </rPr>
      <t>손익</t>
    </r>
  </si>
  <si>
    <t>유료 고객 강의 이용량</t>
  </si>
  <si>
    <t>사전예약 무료월 강의 이용량</t>
  </si>
  <si>
    <r>
      <rPr>
        <sz val="10"/>
        <color rgb="FF243447"/>
        <rFont val="Arial"/>
        <family val="2"/>
      </rPr>
      <t xml:space="preserve">Free </t>
    </r>
    <r>
      <rPr>
        <sz val="10"/>
        <color rgb="FF243447"/>
        <rFont val="Linux Libertine G"/>
        <family val="2"/>
      </rPr>
      <t>로컬 강의 이용량</t>
    </r>
  </si>
  <si>
    <r>
      <rPr>
        <sz val="10"/>
        <color rgb="FF243447"/>
        <rFont val="Linux Libertine G"/>
        <family val="2"/>
      </rPr>
      <t xml:space="preserve">외부 </t>
    </r>
    <r>
      <rPr>
        <sz val="10"/>
        <color rgb="FF243447"/>
        <rFont val="Arial"/>
        <family val="2"/>
      </rPr>
      <t xml:space="preserve">AI </t>
    </r>
    <r>
      <rPr>
        <sz val="10"/>
        <color rgb="FF243447"/>
        <rFont val="Linux Libertine G"/>
        <family val="2"/>
      </rPr>
      <t>요약 강의량</t>
    </r>
  </si>
  <si>
    <r>
      <rPr>
        <sz val="10"/>
        <color rgb="FF243447"/>
        <rFont val="Arial"/>
        <family val="2"/>
      </rPr>
      <t xml:space="preserve">LLM </t>
    </r>
    <r>
      <rPr>
        <sz val="10"/>
        <color rgb="FF243447"/>
        <rFont val="Linux Libertine G"/>
        <family val="2"/>
      </rPr>
      <t>입력 토큰</t>
    </r>
  </si>
  <si>
    <r>
      <rPr>
        <sz val="10"/>
        <color rgb="FF243447"/>
        <rFont val="Arial"/>
        <family val="2"/>
      </rPr>
      <t xml:space="preserve">LLM </t>
    </r>
    <r>
      <rPr>
        <sz val="10"/>
        <color rgb="FF243447"/>
        <rFont val="Linux Libertine G"/>
        <family val="2"/>
      </rPr>
      <t>출력 토큰</t>
    </r>
  </si>
  <si>
    <r>
      <rPr>
        <sz val="10"/>
        <color rgb="FF243447"/>
        <rFont val="Arial"/>
        <family val="2"/>
      </rPr>
      <t xml:space="preserve">LLM API </t>
    </r>
    <r>
      <rPr>
        <sz val="10"/>
        <color rgb="FF243447"/>
        <rFont val="Linux Libertine G"/>
        <family val="2"/>
      </rPr>
      <t>사용 원가</t>
    </r>
  </si>
  <si>
    <r>
      <rPr>
        <sz val="10"/>
        <color rgb="FF243447"/>
        <rFont val="Arial"/>
        <family val="2"/>
      </rPr>
      <t xml:space="preserve">OpenRouter </t>
    </r>
    <r>
      <rPr>
        <sz val="10"/>
        <color rgb="FF243447"/>
        <rFont val="Linux Libertine G"/>
        <family val="2"/>
      </rPr>
      <t>충전 수수료 배분</t>
    </r>
  </si>
  <si>
    <t>동의 기반 비전 비용</t>
  </si>
  <si>
    <r>
      <rPr>
        <sz val="10"/>
        <color rgb="FF243447"/>
        <rFont val="Arial"/>
        <family val="2"/>
      </rPr>
      <t xml:space="preserve">Vercel </t>
    </r>
    <r>
      <rPr>
        <sz val="10"/>
        <color rgb="FF243447"/>
        <rFont val="Linux Libertine G"/>
        <family val="2"/>
      </rPr>
      <t>비용</t>
    </r>
  </si>
  <si>
    <r>
      <rPr>
        <sz val="10"/>
        <color rgb="FF243447"/>
        <rFont val="Arial"/>
        <family val="2"/>
      </rPr>
      <t xml:space="preserve">Supabase </t>
    </r>
    <r>
      <rPr>
        <sz val="10"/>
        <color rgb="FF243447"/>
        <rFont val="Linux Libertine G"/>
        <family val="2"/>
      </rPr>
      <t>비용</t>
    </r>
  </si>
  <si>
    <t>결제 변동 수수료</t>
  </si>
  <si>
    <r>
      <rPr>
        <sz val="10"/>
        <color rgb="FF243447"/>
        <rFont val="Arial"/>
        <family val="2"/>
      </rPr>
      <t xml:space="preserve">PG </t>
    </r>
    <r>
      <rPr>
        <sz val="10"/>
        <color rgb="FF243447"/>
        <rFont val="Linux Libertine G"/>
        <family val="2"/>
      </rPr>
      <t xml:space="preserve">가입비 </t>
    </r>
    <r>
      <rPr>
        <sz val="10"/>
        <color rgb="FF243447"/>
        <rFont val="Arial"/>
        <family val="2"/>
      </rPr>
      <t xml:space="preserve">· </t>
    </r>
    <r>
      <rPr>
        <sz val="10"/>
        <color rgb="FF243447"/>
        <rFont val="Linux Libertine G"/>
        <family val="2"/>
      </rPr>
      <t>연관리비</t>
    </r>
  </si>
  <si>
    <t>고객 지원 변동비</t>
  </si>
  <si>
    <t>마케팅비</t>
  </si>
  <si>
    <t>인건비</t>
  </si>
  <si>
    <t>기타 판관비</t>
  </si>
  <si>
    <t>전체 영업비용</t>
  </si>
  <si>
    <t>세전 이익</t>
  </si>
  <si>
    <t>기초 이월결손금</t>
  </si>
  <si>
    <t>추정 과세소득</t>
  </si>
  <si>
    <t>추정 법인세</t>
  </si>
  <si>
    <t>기말 이월결손금</t>
  </si>
  <si>
    <t>추정 순이익</t>
  </si>
  <si>
    <t>순이익률</t>
  </si>
  <si>
    <r>
      <rPr>
        <b/>
        <sz val="10"/>
        <color rgb="FFFFFFFF"/>
        <rFont val="Linux Libertine G"/>
        <family val="2"/>
      </rPr>
      <t>검증</t>
    </r>
    <r>
      <rPr>
        <b/>
        <sz val="10"/>
        <color rgb="FFFFFFFF"/>
        <rFont val="Arial"/>
        <family val="2"/>
      </rPr>
      <t xml:space="preserve">: </t>
    </r>
    <r>
      <rPr>
        <b/>
        <sz val="10"/>
        <color rgb="FFFFFFFF"/>
        <rFont val="Linux Libertine G"/>
        <family val="2"/>
      </rPr>
      <t xml:space="preserve">정상은 모두 </t>
    </r>
    <r>
      <rPr>
        <b/>
        <sz val="10"/>
        <color rgb="FFFFFFFF"/>
        <rFont val="Arial"/>
        <family val="2"/>
      </rPr>
      <t>0</t>
    </r>
  </si>
  <si>
    <t>가입 경로 합계 차이</t>
  </si>
  <si>
    <t>유료 고객 롤포워드 차이</t>
  </si>
  <si>
    <t>음수 고객 수 검사</t>
  </si>
  <si>
    <t>추천 보상 상한 차이</t>
  </si>
  <si>
    <r>
      <rPr>
        <sz val="10"/>
        <color rgb="FF243447"/>
        <rFont val="Linux Libertine G"/>
        <family val="2"/>
      </rPr>
      <t>매출</t>
    </r>
    <r>
      <rPr>
        <sz val="10"/>
        <color rgb="FF243447"/>
        <rFont val="Arial"/>
        <family val="2"/>
      </rPr>
      <t>·</t>
    </r>
    <r>
      <rPr>
        <sz val="10"/>
        <color rgb="FF243447"/>
        <rFont val="Linux Libertine G"/>
        <family val="2"/>
      </rPr>
      <t>결제액 대사 차이</t>
    </r>
  </si>
  <si>
    <r>
      <rPr>
        <b/>
        <sz val="10"/>
        <color rgb="FFFFFFFF"/>
        <rFont val="Linux Libertine G"/>
        <family val="2"/>
      </rPr>
      <t xml:space="preserve">인프라 사용량 </t>
    </r>
    <r>
      <rPr>
        <b/>
        <sz val="10"/>
        <color rgb="FFFFFFFF"/>
        <rFont val="Arial"/>
        <family val="2"/>
      </rPr>
      <t xml:space="preserve">· </t>
    </r>
    <r>
      <rPr>
        <b/>
        <sz val="10"/>
        <color rgb="FFFFFFFF"/>
        <rFont val="Linux Libertine G"/>
        <family val="2"/>
      </rPr>
      <t>플랜 전환</t>
    </r>
  </si>
  <si>
    <r>
      <rPr>
        <sz val="10"/>
        <color rgb="FF243447"/>
        <rFont val="Arial"/>
        <family val="2"/>
      </rPr>
      <t xml:space="preserve">Vercel </t>
    </r>
    <r>
      <rPr>
        <sz val="10"/>
        <color rgb="FF243447"/>
        <rFont val="Linux Libertine G"/>
        <family val="2"/>
      </rPr>
      <t>랜딩 방문자</t>
    </r>
  </si>
  <si>
    <r>
      <rPr>
        <sz val="10"/>
        <color rgb="FF243447"/>
        <rFont val="Arial"/>
        <family val="2"/>
      </rPr>
      <t xml:space="preserve">Vercel </t>
    </r>
    <r>
      <rPr>
        <sz val="10"/>
        <color rgb="FF243447"/>
        <rFont val="Linux Libertine G"/>
        <family val="2"/>
      </rPr>
      <t>전송량</t>
    </r>
  </si>
  <si>
    <r>
      <rPr>
        <sz val="10"/>
        <color rgb="FF243447"/>
        <rFont val="Arial"/>
        <family val="2"/>
      </rPr>
      <t xml:space="preserve">Vercel Edge </t>
    </r>
    <r>
      <rPr>
        <sz val="10"/>
        <color rgb="FF243447"/>
        <rFont val="Linux Libertine G"/>
        <family val="2"/>
      </rPr>
      <t>요청</t>
    </r>
  </si>
  <si>
    <r>
      <rPr>
        <sz val="10"/>
        <color rgb="FF243447"/>
        <rFont val="Arial"/>
        <family val="2"/>
      </rPr>
      <t xml:space="preserve">Vercel Pro </t>
    </r>
    <r>
      <rPr>
        <sz val="10"/>
        <color rgb="FF243447"/>
        <rFont val="Linux Libertine G"/>
        <family val="2"/>
      </rPr>
      <t xml:space="preserve">적용 </t>
    </r>
    <r>
      <rPr>
        <sz val="10"/>
        <color rgb="FF243447"/>
        <rFont val="Arial"/>
        <family val="2"/>
      </rPr>
      <t>(1=Pro)</t>
    </r>
  </si>
  <si>
    <r>
      <rPr>
        <sz val="10"/>
        <color rgb="FF000000"/>
        <rFont val="Arial"/>
        <family val="2"/>
      </rPr>
      <t xml:space="preserve">Vercel Pro </t>
    </r>
    <r>
      <rPr>
        <sz val="10"/>
        <color rgb="FF000000"/>
        <rFont val="Linux Libertine G"/>
        <family val="2"/>
      </rPr>
      <t>초과 종량 비용</t>
    </r>
  </si>
  <si>
    <r>
      <rPr>
        <sz val="10"/>
        <color rgb="FF000000"/>
        <rFont val="Arial"/>
        <family val="2"/>
      </rPr>
      <t xml:space="preserve">Supabase </t>
    </r>
    <r>
      <rPr>
        <sz val="10"/>
        <color rgb="FF000000"/>
        <rFont val="Linux Libertine G"/>
        <family val="2"/>
      </rPr>
      <t>월 활성 계정</t>
    </r>
  </si>
  <si>
    <t>누적 등록 계정</t>
  </si>
  <si>
    <r>
      <rPr>
        <sz val="10"/>
        <color rgb="FF000000"/>
        <rFont val="Arial"/>
        <family val="2"/>
      </rPr>
      <t xml:space="preserve">Supabase DB </t>
    </r>
    <r>
      <rPr>
        <sz val="10"/>
        <color rgb="FF000000"/>
        <rFont val="Linux Libertine G"/>
        <family val="2"/>
      </rPr>
      <t>용량</t>
    </r>
  </si>
  <si>
    <r>
      <rPr>
        <sz val="10"/>
        <color rgb="FF000000"/>
        <rFont val="Arial"/>
        <family val="2"/>
      </rPr>
      <t xml:space="preserve">Supabase </t>
    </r>
    <r>
      <rPr>
        <sz val="10"/>
        <color rgb="FF000000"/>
        <rFont val="Linux Libertine G"/>
        <family val="2"/>
      </rPr>
      <t>월 전송량</t>
    </r>
  </si>
  <si>
    <r>
      <rPr>
        <sz val="10"/>
        <color rgb="FF000000"/>
        <rFont val="Arial"/>
        <family val="2"/>
      </rPr>
      <t xml:space="preserve">Supabase </t>
    </r>
    <r>
      <rPr>
        <sz val="10"/>
        <color rgb="FF000000"/>
        <rFont val="Linux Libertine G"/>
        <family val="2"/>
      </rPr>
      <t>파일 저장량</t>
    </r>
  </si>
  <si>
    <r>
      <rPr>
        <sz val="10"/>
        <color rgb="FF000000"/>
        <rFont val="Arial"/>
        <family val="2"/>
      </rPr>
      <t xml:space="preserve">Supabase Pro </t>
    </r>
    <r>
      <rPr>
        <sz val="10"/>
        <color rgb="FF000000"/>
        <rFont val="Linux Libertine G"/>
        <family val="2"/>
      </rPr>
      <t xml:space="preserve">적용 </t>
    </r>
    <r>
      <rPr>
        <sz val="10"/>
        <color rgb="FF000000"/>
        <rFont val="Arial"/>
        <family val="2"/>
      </rPr>
      <t>(1=Pro)</t>
    </r>
  </si>
  <si>
    <r>
      <rPr>
        <sz val="10"/>
        <color rgb="FF000000"/>
        <rFont val="Arial"/>
        <family val="2"/>
      </rPr>
      <t xml:space="preserve">Supabase Pro </t>
    </r>
    <r>
      <rPr>
        <sz val="10"/>
        <color rgb="FF000000"/>
        <rFont val="Linux Libertine G"/>
        <family val="2"/>
      </rPr>
      <t>초과 종량 비용</t>
    </r>
  </si>
  <si>
    <r>
      <rPr>
        <b/>
        <sz val="15"/>
        <color rgb="FF17324D"/>
        <rFont val="Linux Libertine G"/>
        <family val="2"/>
      </rPr>
      <t xml:space="preserve">출처 </t>
    </r>
    <r>
      <rPr>
        <b/>
        <sz val="15"/>
        <color rgb="FF17324D"/>
        <rFont val="Arial"/>
        <family val="2"/>
      </rPr>
      <t xml:space="preserve">· </t>
    </r>
    <r>
      <rPr>
        <b/>
        <sz val="15"/>
        <color rgb="FF17324D"/>
        <rFont val="Linux Libertine G"/>
        <family val="2"/>
      </rPr>
      <t xml:space="preserve">산식 </t>
    </r>
    <r>
      <rPr>
        <b/>
        <sz val="15"/>
        <color rgb="FF17324D"/>
        <rFont val="Arial"/>
        <family val="2"/>
      </rPr>
      <t xml:space="preserve">· </t>
    </r>
    <r>
      <rPr>
        <b/>
        <sz val="15"/>
        <color rgb="FF17324D"/>
        <rFont val="Linux Libertine G"/>
        <family val="2"/>
      </rPr>
      <t>확인할 실측값</t>
    </r>
  </si>
  <si>
    <t>ID</t>
  </si>
  <si>
    <r>
      <rPr>
        <b/>
        <sz val="10"/>
        <color rgb="FFFFFFFF"/>
        <rFont val="Linux Libertine G"/>
        <family val="2"/>
      </rPr>
      <t xml:space="preserve">자료 </t>
    </r>
    <r>
      <rPr>
        <b/>
        <sz val="10"/>
        <color rgb="FFFFFFFF"/>
        <rFont val="Arial"/>
        <family val="2"/>
      </rPr>
      <t xml:space="preserve">/ </t>
    </r>
    <r>
      <rPr>
        <b/>
        <sz val="10"/>
        <color rgb="FFFFFFFF"/>
        <rFont val="Linux Libertine G"/>
        <family val="2"/>
      </rPr>
      <t>정의</t>
    </r>
  </si>
  <si>
    <t>확인값</t>
  </si>
  <si>
    <r>
      <rPr>
        <b/>
        <sz val="10"/>
        <color rgb="FFFFFFFF"/>
        <rFont val="Linux Libertine G"/>
        <family val="2"/>
      </rPr>
      <t xml:space="preserve">직접 </t>
    </r>
    <r>
      <rPr>
        <b/>
        <sz val="10"/>
        <color rgb="FFFFFFFF"/>
        <rFont val="Arial"/>
        <family val="2"/>
      </rPr>
      <t>URL</t>
    </r>
  </si>
  <si>
    <r>
      <rPr>
        <sz val="10"/>
        <color rgb="FF243447"/>
        <rFont val="Linux Libertine G"/>
        <family val="2"/>
      </rPr>
      <t>사용자 지정 가격</t>
    </r>
    <r>
      <rPr>
        <sz val="10"/>
        <color rgb="FF243447"/>
        <rFont val="Arial"/>
        <family val="2"/>
      </rPr>
      <t>·</t>
    </r>
    <r>
      <rPr>
        <sz val="10"/>
        <color rgb="FF243447"/>
        <rFont val="Linux Libertine G"/>
        <family val="2"/>
      </rPr>
      <t>무료 혜택</t>
    </r>
  </si>
  <si>
    <t>이 대화의 사용자 제공 조건</t>
  </si>
  <si>
    <r>
      <rPr>
        <sz val="10"/>
        <color rgb="FF243447"/>
        <rFont val="Arial"/>
        <family val="2"/>
      </rPr>
      <t xml:space="preserve">Vercel </t>
    </r>
    <r>
      <rPr>
        <sz val="10"/>
        <color rgb="FF243447"/>
        <rFont val="Linux Libertine G"/>
        <family val="2"/>
      </rPr>
      <t xml:space="preserve">공식 요금 및 </t>
    </r>
    <r>
      <rPr>
        <sz val="10"/>
        <color rgb="FF243447"/>
        <rFont val="Arial"/>
        <family val="2"/>
      </rPr>
      <t xml:space="preserve">Hobby </t>
    </r>
    <r>
      <rPr>
        <sz val="10"/>
        <color rgb="FF243447"/>
        <rFont val="Linux Libertine G"/>
        <family val="2"/>
      </rPr>
      <t>사용 조건</t>
    </r>
  </si>
  <si>
    <r>
      <rPr>
        <sz val="10"/>
        <color rgb="FF243447"/>
        <rFont val="Arial"/>
        <family val="2"/>
      </rPr>
      <t xml:space="preserve">Pro </t>
    </r>
    <r>
      <rPr>
        <sz val="10"/>
        <color rgb="FF243447"/>
        <rFont val="Linux Libertine G"/>
        <family val="2"/>
      </rPr>
      <t xml:space="preserve">월 </t>
    </r>
    <r>
      <rPr>
        <sz val="10"/>
        <color rgb="FF243447"/>
        <rFont val="Arial"/>
        <family val="2"/>
      </rPr>
      <t xml:space="preserve">$20 · </t>
    </r>
    <r>
      <rPr>
        <sz val="10"/>
        <color rgb="FF243447"/>
        <rFont val="Linux Libertine G"/>
        <family val="2"/>
      </rPr>
      <t xml:space="preserve">사용량 크레딧 </t>
    </r>
    <r>
      <rPr>
        <sz val="10"/>
        <color rgb="FF243447"/>
        <rFont val="Arial"/>
        <family val="2"/>
      </rPr>
      <t>$20. Hobby</t>
    </r>
    <r>
      <rPr>
        <sz val="10"/>
        <color rgb="FF243447"/>
        <rFont val="Linux Libertine G"/>
        <family val="2"/>
      </rPr>
      <t>는 개인 비상업용</t>
    </r>
    <r>
      <rPr>
        <sz val="10"/>
        <color rgb="FF243447"/>
        <rFont val="Arial"/>
        <family val="2"/>
      </rPr>
      <t xml:space="preserve">. </t>
    </r>
    <r>
      <rPr>
        <sz val="10"/>
        <color rgb="FF243447"/>
        <rFont val="Linux Libertine G"/>
        <family val="2"/>
      </rPr>
      <t>트래픽</t>
    </r>
    <r>
      <rPr>
        <sz val="10"/>
        <color rgb="FF243447"/>
        <rFont val="Arial"/>
        <family val="2"/>
      </rPr>
      <t>·</t>
    </r>
    <r>
      <rPr>
        <sz val="10"/>
        <color rgb="FF243447"/>
        <rFont val="Linux Libertine G"/>
        <family val="2"/>
      </rPr>
      <t>요청 초과는 지역별 종량</t>
    </r>
    <r>
      <rPr>
        <sz val="10"/>
        <color rgb="FF243447"/>
        <rFont val="Arial"/>
        <family val="2"/>
      </rPr>
      <t>.</t>
    </r>
  </si>
  <si>
    <t>https://vercel.com/docs/limits/fair-use-guidelines</t>
  </si>
  <si>
    <r>
      <rPr>
        <sz val="10"/>
        <color rgb="FF243447"/>
        <rFont val="Arial"/>
        <family val="2"/>
      </rPr>
      <t xml:space="preserve">Supabase Pro </t>
    </r>
    <r>
      <rPr>
        <sz val="10"/>
        <color rgb="FF243447"/>
        <rFont val="Linux Libertine G"/>
        <family val="2"/>
      </rPr>
      <t>공식 요금</t>
    </r>
  </si>
  <si>
    <r>
      <rPr>
        <sz val="10"/>
        <color rgb="FF243447"/>
        <rFont val="Arial"/>
        <family val="2"/>
      </rPr>
      <t>Free: 5</t>
    </r>
    <r>
      <rPr>
        <sz val="10"/>
        <color rgb="FF243447"/>
        <rFont val="Linux Libertine G"/>
        <family val="2"/>
      </rPr>
      <t xml:space="preserve">만 </t>
    </r>
    <r>
      <rPr>
        <sz val="10"/>
        <color rgb="FF243447"/>
        <rFont val="Arial"/>
        <family val="2"/>
      </rPr>
      <t xml:space="preserve">MAU / DB 500MB / 5GB egress / 1GB storage. Pro: </t>
    </r>
    <r>
      <rPr>
        <sz val="10"/>
        <color rgb="FF243447"/>
        <rFont val="Linux Libertine G"/>
        <family val="2"/>
      </rPr>
      <t xml:space="preserve">월 </t>
    </r>
    <r>
      <rPr>
        <sz val="10"/>
        <color rgb="FF243447"/>
        <rFont val="Arial"/>
        <family val="2"/>
      </rPr>
      <t>$25, 10</t>
    </r>
    <r>
      <rPr>
        <sz val="10"/>
        <color rgb="FF243447"/>
        <rFont val="Linux Libertine G"/>
        <family val="2"/>
      </rPr>
      <t xml:space="preserve">만 </t>
    </r>
    <r>
      <rPr>
        <sz val="10"/>
        <color rgb="FF243447"/>
        <rFont val="Arial"/>
        <family val="2"/>
      </rPr>
      <t>MAU / DB 8GB / 250GB egress / 100GB storage.</t>
    </r>
  </si>
  <si>
    <t>https://supabase.com/pricing</t>
  </si>
  <si>
    <t>OpenRouter Gemini 2.5 Flash Lite</t>
  </si>
  <si>
    <r>
      <rPr>
        <sz val="10"/>
        <color rgb="FF243447"/>
        <rFont val="Linux Libertine G"/>
        <family val="2"/>
      </rPr>
      <t xml:space="preserve">입력 </t>
    </r>
    <r>
      <rPr>
        <sz val="10"/>
        <color rgb="FF243447"/>
        <rFont val="Arial"/>
        <family val="2"/>
      </rPr>
      <t xml:space="preserve">$0.10, </t>
    </r>
    <r>
      <rPr>
        <sz val="10"/>
        <color rgb="FF243447"/>
        <rFont val="Linux Libertine G"/>
        <family val="2"/>
      </rPr>
      <t xml:space="preserve">출력 </t>
    </r>
    <r>
      <rPr>
        <sz val="10"/>
        <color rgb="FF243447"/>
        <rFont val="Arial"/>
        <family val="2"/>
      </rPr>
      <t>$0.40 / 100</t>
    </r>
    <r>
      <rPr>
        <sz val="10"/>
        <color rgb="FF243447"/>
        <rFont val="Linux Libertine G"/>
        <family val="2"/>
      </rPr>
      <t>만 토큰</t>
    </r>
  </si>
  <si>
    <t>https://openrouter.ai/google/gemini-2.5-flash-lite</t>
  </si>
  <si>
    <t>OpenRouter Gemini 3.8 Flash</t>
  </si>
  <si>
    <r>
      <rPr>
        <sz val="10"/>
        <color rgb="FF243447"/>
        <rFont val="Linux Libertine G"/>
        <family val="2"/>
      </rPr>
      <t xml:space="preserve">현재 </t>
    </r>
    <r>
      <rPr>
        <sz val="10"/>
        <color rgb="FF243447"/>
        <rFont val="Arial"/>
        <family val="2"/>
      </rPr>
      <t xml:space="preserve">50% </t>
    </r>
    <r>
      <rPr>
        <sz val="10"/>
        <color rgb="FF243447"/>
        <rFont val="Linux Libertine G"/>
        <family val="2"/>
      </rPr>
      <t>한시 할인 표시</t>
    </r>
    <r>
      <rPr>
        <sz val="10"/>
        <color rgb="FF243447"/>
        <rFont val="Arial"/>
        <family val="2"/>
      </rPr>
      <t xml:space="preserve">. </t>
    </r>
    <r>
      <rPr>
        <sz val="10"/>
        <color rgb="FF243447"/>
        <rFont val="Linux Libertine G"/>
        <family val="2"/>
      </rPr>
      <t xml:space="preserve">계획은 보수적 정가 </t>
    </r>
    <r>
      <rPr>
        <sz val="10"/>
        <color rgb="FF243447"/>
        <rFont val="Arial"/>
        <family val="2"/>
      </rPr>
      <t xml:space="preserve">$1.50/$7.50 </t>
    </r>
    <r>
      <rPr>
        <sz val="10"/>
        <color rgb="FF243447"/>
        <rFont val="Linux Libertine G"/>
        <family val="2"/>
      </rPr>
      <t>적용</t>
    </r>
  </si>
  <si>
    <t>https://openrouter.ai/google/gemini-3.8-flash</t>
  </si>
  <si>
    <r>
      <rPr>
        <sz val="10"/>
        <color rgb="FF243447"/>
        <rFont val="Arial"/>
        <family val="2"/>
      </rPr>
      <t xml:space="preserve">OpenRouter Standard </t>
    </r>
    <r>
      <rPr>
        <sz val="10"/>
        <color rgb="FF243447"/>
        <rFont val="Linux Libertine G"/>
        <family val="2"/>
      </rPr>
      <t>수수료</t>
    </r>
  </si>
  <si>
    <r>
      <rPr>
        <sz val="10"/>
        <color rgb="FF243447"/>
        <rFont val="Linux Libertine G"/>
        <family val="2"/>
      </rPr>
      <t xml:space="preserve">크레딧 충전액에 </t>
    </r>
    <r>
      <rPr>
        <sz val="10"/>
        <color rgb="FF243447"/>
        <rFont val="Arial"/>
        <family val="2"/>
      </rPr>
      <t xml:space="preserve">5.5% </t>
    </r>
    <r>
      <rPr>
        <sz val="10"/>
        <color rgb="FF243447"/>
        <rFont val="Linux Libertine G"/>
        <family val="2"/>
      </rPr>
      <t>수수료</t>
    </r>
    <r>
      <rPr>
        <sz val="10"/>
        <color rgb="FF243447"/>
        <rFont val="Arial"/>
        <family val="2"/>
      </rPr>
      <t xml:space="preserve">. API </t>
    </r>
    <r>
      <rPr>
        <sz val="10"/>
        <color rgb="FF243447"/>
        <rFont val="Linux Libertine G"/>
        <family val="2"/>
      </rPr>
      <t>소비액에 배분해 근사</t>
    </r>
  </si>
  <si>
    <t>https://openrouter.ai/pricing</t>
  </si>
  <si>
    <t>토스페이먼츠 일반 카드 요금</t>
  </si>
  <si>
    <r>
      <rPr>
        <sz val="10"/>
        <color rgb="FF243447"/>
        <rFont val="Linux Libertine G"/>
        <family val="2"/>
      </rPr>
      <t xml:space="preserve">카드 </t>
    </r>
    <r>
      <rPr>
        <sz val="10"/>
        <color rgb="FF243447"/>
        <rFont val="Arial"/>
        <family val="2"/>
      </rPr>
      <t xml:space="preserve">3.4%, </t>
    </r>
    <r>
      <rPr>
        <sz val="10"/>
        <color rgb="FF243447"/>
        <rFont val="Linux Libertine G"/>
        <family val="2"/>
      </rPr>
      <t xml:space="preserve">가입비 </t>
    </r>
    <r>
      <rPr>
        <sz val="10"/>
        <color rgb="FF243447"/>
        <rFont val="Arial"/>
        <family val="2"/>
      </rPr>
      <t>22</t>
    </r>
    <r>
      <rPr>
        <sz val="10"/>
        <color rgb="FF243447"/>
        <rFont val="Linux Libertine G"/>
        <family val="2"/>
      </rPr>
      <t>만원</t>
    </r>
    <r>
      <rPr>
        <sz val="10"/>
        <color rgb="FF243447"/>
        <rFont val="Arial"/>
        <family val="2"/>
      </rPr>
      <t xml:space="preserve">, </t>
    </r>
    <r>
      <rPr>
        <sz val="10"/>
        <color rgb="FF243447"/>
        <rFont val="Linux Libertine G"/>
        <family val="2"/>
      </rPr>
      <t xml:space="preserve">연관리비 </t>
    </r>
    <r>
      <rPr>
        <sz val="10"/>
        <color rgb="FF243447"/>
        <rFont val="Arial"/>
        <family val="2"/>
      </rPr>
      <t>11</t>
    </r>
    <r>
      <rPr>
        <sz val="10"/>
        <color rgb="FF243447"/>
        <rFont val="Linux Libertine G"/>
        <family val="2"/>
      </rPr>
      <t>만원</t>
    </r>
    <r>
      <rPr>
        <sz val="10"/>
        <color rgb="FF243447"/>
        <rFont val="Arial"/>
        <family val="2"/>
      </rPr>
      <t xml:space="preserve">. </t>
    </r>
    <r>
      <rPr>
        <sz val="10"/>
        <color rgb="FF243447"/>
        <rFont val="Linux Libertine G"/>
        <family val="2"/>
      </rPr>
      <t>자동결제는 추가 계약</t>
    </r>
    <r>
      <rPr>
        <sz val="10"/>
        <color rgb="FF243447"/>
        <rFont val="Arial"/>
        <family val="2"/>
      </rPr>
      <t>·</t>
    </r>
    <r>
      <rPr>
        <sz val="10"/>
        <color rgb="FF243447"/>
        <rFont val="Linux Libertine G"/>
        <family val="2"/>
      </rPr>
      <t>심사 필요</t>
    </r>
  </si>
  <si>
    <t>https://www.tosspayments.com/about/fee</t>
  </si>
  <si>
    <t>P9</t>
  </si>
  <si>
    <t>토스페이먼츠 자동결제 안내</t>
  </si>
  <si>
    <r>
      <rPr>
        <sz val="10"/>
        <color rgb="FF243447"/>
        <rFont val="Linux Libertine G"/>
        <family val="2"/>
      </rPr>
      <t>자동결제는 추가 계약</t>
    </r>
    <r>
      <rPr>
        <sz val="10"/>
        <color rgb="FF243447"/>
        <rFont val="Arial"/>
        <family val="2"/>
      </rPr>
      <t>·</t>
    </r>
    <r>
      <rPr>
        <sz val="10"/>
        <color rgb="FF243447"/>
        <rFont val="Linux Libertine G"/>
        <family val="2"/>
      </rPr>
      <t>심사 대상</t>
    </r>
    <r>
      <rPr>
        <sz val="10"/>
        <color rgb="FF243447"/>
        <rFont val="Arial"/>
        <family val="2"/>
      </rPr>
      <t xml:space="preserve">. </t>
    </r>
    <r>
      <rPr>
        <sz val="10"/>
        <color rgb="FF243447"/>
        <rFont val="Linux Libertine G"/>
        <family val="2"/>
      </rPr>
      <t>실제 수수료 확인 필요</t>
    </r>
  </si>
  <si>
    <t>https://docs.tosspayments.com/guides/v2/billing</t>
  </si>
  <si>
    <t>국세청 부가세 계산</t>
  </si>
  <si>
    <r>
      <rPr>
        <sz val="10"/>
        <color rgb="FF243447"/>
        <rFont val="Linux Libertine G"/>
        <family val="2"/>
      </rPr>
      <t xml:space="preserve">일반 과세 </t>
    </r>
    <r>
      <rPr>
        <sz val="10"/>
        <color rgb="FF243447"/>
        <rFont val="Arial"/>
        <family val="2"/>
      </rPr>
      <t xml:space="preserve">10%; </t>
    </r>
    <r>
      <rPr>
        <sz val="10"/>
        <color rgb="FF243447"/>
        <rFont val="Linux Libertine G"/>
        <family val="2"/>
      </rPr>
      <t>소비자가 포함 가격이면 공급가액은 결제액</t>
    </r>
    <r>
      <rPr>
        <sz val="10"/>
        <color rgb="FF243447"/>
        <rFont val="Arial"/>
        <family val="2"/>
      </rPr>
      <t>/1.1</t>
    </r>
  </si>
  <si>
    <t>https://www.nts.go.kr/nts/cm/cntnts/cntntsView.do?cntntsId=7696&amp;mi=2274</t>
  </si>
  <si>
    <r>
      <rPr>
        <sz val="10"/>
        <color rgb="FF243447"/>
        <rFont val="Linux Libertine G"/>
        <family val="2"/>
      </rPr>
      <t xml:space="preserve">국세청 </t>
    </r>
    <r>
      <rPr>
        <sz val="10"/>
        <color rgb="FF243447"/>
        <rFont val="Arial"/>
        <family val="2"/>
      </rPr>
      <t>2026</t>
    </r>
    <r>
      <rPr>
        <sz val="10"/>
        <color rgb="FF243447"/>
        <rFont val="Linux Libertine G"/>
        <family val="2"/>
      </rPr>
      <t>년 이후 법인세율</t>
    </r>
  </si>
  <si>
    <r>
      <rPr>
        <sz val="10"/>
        <color rgb="FF243447"/>
        <rFont val="Linux Libertine G"/>
        <family val="2"/>
      </rPr>
      <t xml:space="preserve">과세표준 </t>
    </r>
    <r>
      <rPr>
        <sz val="10"/>
        <color rgb="FF243447"/>
        <rFont val="Arial"/>
        <family val="2"/>
      </rPr>
      <t>2</t>
    </r>
    <r>
      <rPr>
        <sz val="10"/>
        <color rgb="FF243447"/>
        <rFont val="Linux Libertine G"/>
        <family val="2"/>
      </rPr>
      <t xml:space="preserve">억원 이하 영리법인 </t>
    </r>
    <r>
      <rPr>
        <sz val="10"/>
        <color rgb="FF243447"/>
        <rFont val="Arial"/>
        <family val="2"/>
      </rPr>
      <t xml:space="preserve">10%; </t>
    </r>
    <r>
      <rPr>
        <sz val="10"/>
        <color rgb="FF243447"/>
        <rFont val="Linux Libertine G"/>
        <family val="2"/>
      </rPr>
      <t>실제 지방세</t>
    </r>
    <r>
      <rPr>
        <sz val="10"/>
        <color rgb="FF243447"/>
        <rFont val="Arial"/>
        <family val="2"/>
      </rPr>
      <t>·</t>
    </r>
    <r>
      <rPr>
        <sz val="10"/>
        <color rgb="FF243447"/>
        <rFont val="Linux Libertine G"/>
        <family val="2"/>
      </rPr>
      <t>공제</t>
    </r>
    <r>
      <rPr>
        <sz val="10"/>
        <color rgb="FF243447"/>
        <rFont val="Arial"/>
        <family val="2"/>
      </rPr>
      <t>·</t>
    </r>
    <r>
      <rPr>
        <sz val="10"/>
        <color rgb="FF243447"/>
        <rFont val="Linux Libertine G"/>
        <family val="2"/>
      </rPr>
      <t>세무조정 미반영</t>
    </r>
  </si>
  <si>
    <t>https://s.nts.go.kr/nts/cm/cntnts/cntntsView.do?cntntsId=7746&amp;mi=2372</t>
  </si>
  <si>
    <r>
      <rPr>
        <sz val="10"/>
        <color rgb="FF243447"/>
        <rFont val="Arial"/>
        <family val="2"/>
      </rPr>
      <t xml:space="preserve">ChartMogul/ProductLed 2026 SaaS </t>
    </r>
    <r>
      <rPr>
        <sz val="10"/>
        <color rgb="FF243447"/>
        <rFont val="Linux Libertine G"/>
        <family val="2"/>
      </rPr>
      <t>전환 조사</t>
    </r>
  </si>
  <si>
    <r>
      <rPr>
        <sz val="10"/>
        <color rgb="FF243447"/>
        <rFont val="Arial"/>
        <family val="2"/>
      </rPr>
      <t>200</t>
    </r>
    <r>
      <rPr>
        <sz val="10"/>
        <color rgb="FF243447"/>
        <rFont val="Linux Libertine G"/>
        <family val="2"/>
      </rPr>
      <t>개 제품 중위</t>
    </r>
    <r>
      <rPr>
        <sz val="10"/>
        <color rgb="FF243447"/>
        <rFont val="Arial"/>
        <family val="2"/>
      </rPr>
      <t xml:space="preserve">: </t>
    </r>
    <r>
      <rPr>
        <sz val="10"/>
        <color rgb="FF243447"/>
        <rFont val="Linux Libertine G"/>
        <family val="2"/>
      </rPr>
      <t>무료</t>
    </r>
    <r>
      <rPr>
        <sz val="10"/>
        <color rgb="FF243447"/>
        <rFont val="Arial"/>
        <family val="2"/>
      </rPr>
      <t>/</t>
    </r>
    <r>
      <rPr>
        <sz val="10"/>
        <color rgb="FF243447"/>
        <rFont val="Linux Libertine G"/>
        <family val="2"/>
      </rPr>
      <t xml:space="preserve">리드 가입자의 </t>
    </r>
    <r>
      <rPr>
        <sz val="10"/>
        <color rgb="FF243447"/>
        <rFont val="Arial"/>
        <family val="2"/>
      </rPr>
      <t>6</t>
    </r>
    <r>
      <rPr>
        <sz val="10"/>
        <color rgb="FF243447"/>
        <rFont val="Linux Libertine G"/>
        <family val="2"/>
      </rPr>
      <t xml:space="preserve">개월 내 유료 전환 </t>
    </r>
    <r>
      <rPr>
        <sz val="10"/>
        <color rgb="FF243447"/>
        <rFont val="Arial"/>
        <family val="2"/>
      </rPr>
      <t xml:space="preserve">8%. </t>
    </r>
    <r>
      <rPr>
        <sz val="10"/>
        <color rgb="FF243447"/>
        <rFont val="Linux Libertine G"/>
        <family val="2"/>
      </rPr>
      <t>카드 체험 월전환과 정의 다름</t>
    </r>
  </si>
  <si>
    <t>https://chartmogul.com/reports/saas-conversion-report/</t>
  </si>
  <si>
    <r>
      <rPr>
        <sz val="10"/>
        <color rgb="FF243447"/>
        <rFont val="Arial"/>
        <family val="2"/>
      </rPr>
      <t xml:space="preserve">ChartMogul 2023 SaaS </t>
    </r>
    <r>
      <rPr>
        <sz val="10"/>
        <color rgb="FF243447"/>
        <rFont val="Linux Libertine G"/>
        <family val="2"/>
      </rPr>
      <t>이탈 조사</t>
    </r>
  </si>
  <si>
    <r>
      <rPr>
        <sz val="10"/>
        <color rgb="FF243447"/>
        <rFont val="Arial"/>
        <family val="2"/>
      </rPr>
      <t xml:space="preserve">&lt;$300k ARR </t>
    </r>
    <r>
      <rPr>
        <sz val="10"/>
        <color rgb="FF243447"/>
        <rFont val="Linux Libertine G"/>
        <family val="2"/>
      </rPr>
      <t xml:space="preserve">월 고객 이탈 중위 </t>
    </r>
    <r>
      <rPr>
        <sz val="10"/>
        <color rgb="FF243447"/>
        <rFont val="Arial"/>
        <family val="2"/>
      </rPr>
      <t>6.4%; &lt;$25 ARPA 6.1%</t>
    </r>
  </si>
  <si>
    <t>https://chartmogul.com/reports/saas-benchmarks-report/saas-benchmarks-report-2023.pdf</t>
  </si>
  <si>
    <r>
      <rPr>
        <sz val="10"/>
        <color rgb="FF243447"/>
        <rFont val="Arial"/>
        <family val="2"/>
      </rPr>
      <t xml:space="preserve">My Yoga Teacher </t>
    </r>
    <r>
      <rPr>
        <sz val="10"/>
        <color rgb="FF243447"/>
        <rFont val="Linux Libertine G"/>
        <family val="2"/>
      </rPr>
      <t>추천 연구</t>
    </r>
  </si>
  <si>
    <r>
      <rPr>
        <sz val="10"/>
        <color rgb="FF243447"/>
        <rFont val="Linux Libertine G"/>
        <family val="2"/>
      </rPr>
      <t xml:space="preserve">추천 유입 고객의 이메일 공유 </t>
    </r>
    <r>
      <rPr>
        <sz val="10"/>
        <color rgb="FF243447"/>
        <rFont val="Arial"/>
        <family val="2"/>
      </rPr>
      <t xml:space="preserve">8.72%, </t>
    </r>
    <r>
      <rPr>
        <sz val="10"/>
        <color rgb="FF243447"/>
        <rFont val="Linux Libertine G"/>
        <family val="2"/>
      </rPr>
      <t xml:space="preserve">수신자 계정 생성 </t>
    </r>
    <r>
      <rPr>
        <sz val="10"/>
        <color rgb="FF243447"/>
        <rFont val="Arial"/>
        <family val="2"/>
      </rPr>
      <t xml:space="preserve">23.8%; </t>
    </r>
    <r>
      <rPr>
        <sz val="10"/>
        <color rgb="FF243447"/>
        <rFont val="Linux Libertine G"/>
        <family val="2"/>
      </rPr>
      <t xml:space="preserve">학생 </t>
    </r>
    <r>
      <rPr>
        <sz val="10"/>
        <color rgb="FF243447"/>
        <rFont val="Arial"/>
        <family val="2"/>
      </rPr>
      <t xml:space="preserve">SaaS </t>
    </r>
    <r>
      <rPr>
        <sz val="10"/>
        <color rgb="FF243447"/>
        <rFont val="Linux Libertine G"/>
        <family val="2"/>
      </rPr>
      <t>직접 비교 불가</t>
    </r>
  </si>
  <si>
    <t>https://faculty.wharton.upenn.edu/wp-content/uploads/2020/06/gershon-jiang-2024-express-referral-contagion-downstream-benefits-of-customer-referrals.pdf</t>
  </si>
  <si>
    <r>
      <rPr>
        <sz val="10"/>
        <color rgb="FF243447"/>
        <rFont val="Linux Libertine G"/>
        <family val="2"/>
      </rPr>
      <t xml:space="preserve">모델 가정 </t>
    </r>
    <r>
      <rPr>
        <sz val="10"/>
        <color rgb="FF243447"/>
        <rFont val="Arial"/>
        <family val="2"/>
      </rPr>
      <t xml:space="preserve">/ </t>
    </r>
    <r>
      <rPr>
        <sz val="10"/>
        <color rgb="FF243447"/>
        <rFont val="Linux Libertine G"/>
        <family val="2"/>
      </rPr>
      <t>미측정값</t>
    </r>
  </si>
  <si>
    <r>
      <rPr>
        <sz val="10"/>
        <color rgb="FF243447"/>
        <rFont val="Linux Libertine G"/>
        <family val="2"/>
      </rPr>
      <t>웨이트리스트</t>
    </r>
    <r>
      <rPr>
        <sz val="10"/>
        <color rgb="FF243447"/>
        <rFont val="Arial"/>
        <family val="2"/>
      </rPr>
      <t xml:space="preserve">, </t>
    </r>
    <r>
      <rPr>
        <sz val="10"/>
        <color rgb="FF243447"/>
        <rFont val="Linux Libertine G"/>
        <family val="2"/>
      </rPr>
      <t>카드 등록률</t>
    </r>
    <r>
      <rPr>
        <sz val="10"/>
        <color rgb="FF243447"/>
        <rFont val="Arial"/>
        <family val="2"/>
      </rPr>
      <t xml:space="preserve">, </t>
    </r>
    <r>
      <rPr>
        <sz val="10"/>
        <color rgb="FF243447"/>
        <rFont val="Linux Libertine G"/>
        <family val="2"/>
      </rPr>
      <t>유료 전환</t>
    </r>
    <r>
      <rPr>
        <sz val="10"/>
        <color rgb="FF243447"/>
        <rFont val="Arial"/>
        <family val="2"/>
      </rPr>
      <t xml:space="preserve">, </t>
    </r>
    <r>
      <rPr>
        <sz val="10"/>
        <color rgb="FF243447"/>
        <rFont val="Linux Libertine G"/>
        <family val="2"/>
      </rPr>
      <t>토큰</t>
    </r>
    <r>
      <rPr>
        <sz val="10"/>
        <color rgb="FF243447"/>
        <rFont val="Arial"/>
        <family val="2"/>
      </rPr>
      <t>/</t>
    </r>
    <r>
      <rPr>
        <sz val="10"/>
        <color rgb="FF243447"/>
        <rFont val="Linux Libertine G"/>
        <family val="2"/>
      </rPr>
      <t>분</t>
    </r>
    <r>
      <rPr>
        <sz val="10"/>
        <color rgb="FF243447"/>
        <rFont val="Arial"/>
        <family val="2"/>
      </rPr>
      <t xml:space="preserve">, </t>
    </r>
    <r>
      <rPr>
        <sz val="10"/>
        <color rgb="FF243447"/>
        <rFont val="Linux Libertine G"/>
        <family val="2"/>
      </rPr>
      <t>이용량</t>
    </r>
    <r>
      <rPr>
        <sz val="10"/>
        <color rgb="FF243447"/>
        <rFont val="Arial"/>
        <family val="2"/>
      </rPr>
      <t xml:space="preserve">, </t>
    </r>
    <r>
      <rPr>
        <sz val="10"/>
        <color rgb="FF243447"/>
        <rFont val="Linux Libertine G"/>
        <family val="2"/>
      </rPr>
      <t>급여</t>
    </r>
    <r>
      <rPr>
        <sz val="10"/>
        <color rgb="FF243447"/>
        <rFont val="Arial"/>
        <family val="2"/>
      </rPr>
      <t xml:space="preserve">, </t>
    </r>
    <r>
      <rPr>
        <sz val="10"/>
        <color rgb="FF243447"/>
        <rFont val="Linux Libertine G"/>
        <family val="2"/>
      </rPr>
      <t>환율 등은 실측 전 가정</t>
    </r>
  </si>
  <si>
    <t>업데이트 우선순위</t>
  </si>
  <si>
    <r>
      <rPr>
        <sz val="10"/>
        <color rgb="FF243447"/>
        <rFont val="Arial"/>
        <family val="2"/>
      </rPr>
      <t xml:space="preserve">1. </t>
    </r>
    <r>
      <rPr>
        <sz val="10"/>
        <color rgb="FF243447"/>
        <rFont val="Linux Libertine G"/>
        <family val="2"/>
      </rPr>
      <t>실제 사전예약자</t>
    </r>
    <r>
      <rPr>
        <sz val="10"/>
        <color rgb="FF243447"/>
        <rFont val="Arial"/>
        <family val="2"/>
      </rPr>
      <t>·</t>
    </r>
    <r>
      <rPr>
        <sz val="10"/>
        <color rgb="FF243447"/>
        <rFont val="Linux Libertine G"/>
        <family val="2"/>
      </rPr>
      <t>채널별 카드 등록률</t>
    </r>
    <r>
      <rPr>
        <sz val="10"/>
        <color rgb="FF243447"/>
        <rFont val="Arial"/>
        <family val="2"/>
      </rPr>
      <t>·</t>
    </r>
    <r>
      <rPr>
        <sz val="10"/>
        <color rgb="FF243447"/>
        <rFont val="Linux Libertine G"/>
        <family val="2"/>
      </rPr>
      <t>체험 종료 유료 전환</t>
    </r>
    <r>
      <rPr>
        <sz val="10"/>
        <color rgb="FF243447"/>
        <rFont val="Arial"/>
        <family val="2"/>
      </rPr>
      <t>·</t>
    </r>
    <r>
      <rPr>
        <sz val="10"/>
        <color rgb="FF243447"/>
        <rFont val="Linux Libertine G"/>
        <family val="2"/>
      </rPr>
      <t>취소율</t>
    </r>
  </si>
  <si>
    <r>
      <rPr>
        <sz val="10"/>
        <color rgb="FF243447"/>
        <rFont val="Arial"/>
        <family val="2"/>
      </rPr>
      <t xml:space="preserve">2. API </t>
    </r>
    <r>
      <rPr>
        <sz val="10"/>
        <color rgb="FF243447"/>
        <rFont val="Linux Libertine G"/>
        <family val="2"/>
      </rPr>
      <t>요청당 입력</t>
    </r>
    <r>
      <rPr>
        <sz val="10"/>
        <color rgb="FF243447"/>
        <rFont val="Arial"/>
        <family val="2"/>
      </rPr>
      <t>/</t>
    </r>
    <r>
      <rPr>
        <sz val="10"/>
        <color rgb="FF243447"/>
        <rFont val="Linux Libertine G"/>
        <family val="2"/>
      </rPr>
      <t>출력 토큰</t>
    </r>
    <r>
      <rPr>
        <sz val="10"/>
        <color rgb="FF243447"/>
        <rFont val="Arial"/>
        <family val="2"/>
      </rPr>
      <t xml:space="preserve">, </t>
    </r>
    <r>
      <rPr>
        <sz val="10"/>
        <color rgb="FF243447"/>
        <rFont val="Linux Libertine G"/>
        <family val="2"/>
      </rPr>
      <t>요약 횟수</t>
    </r>
    <r>
      <rPr>
        <sz val="10"/>
        <color rgb="FF243447"/>
        <rFont val="Arial"/>
        <family val="2"/>
      </rPr>
      <t xml:space="preserve">, </t>
    </r>
    <r>
      <rPr>
        <sz val="10"/>
        <color rgb="FF243447"/>
        <rFont val="Linux Libertine G"/>
        <family val="2"/>
      </rPr>
      <t>강의 분</t>
    </r>
    <r>
      <rPr>
        <sz val="10"/>
        <color rgb="FF243447"/>
        <rFont val="Arial"/>
        <family val="2"/>
      </rPr>
      <t xml:space="preserve">, </t>
    </r>
    <r>
      <rPr>
        <sz val="10"/>
        <color rgb="FF243447"/>
        <rFont val="Linux Libertine G"/>
        <family val="2"/>
      </rPr>
      <t>모델 구성</t>
    </r>
  </si>
  <si>
    <r>
      <rPr>
        <sz val="10"/>
        <color rgb="FF243447"/>
        <rFont val="Arial"/>
        <family val="2"/>
      </rPr>
      <t xml:space="preserve">3. </t>
    </r>
    <r>
      <rPr>
        <sz val="10"/>
        <color rgb="FF243447"/>
        <rFont val="Linux Libertine G"/>
        <family val="2"/>
      </rPr>
      <t>결제사 자동결제 계약 요율</t>
    </r>
    <r>
      <rPr>
        <sz val="10"/>
        <color rgb="FF243447"/>
        <rFont val="Arial"/>
        <family val="2"/>
      </rPr>
      <t xml:space="preserve">, Vercel/Supabase </t>
    </r>
    <r>
      <rPr>
        <sz val="10"/>
        <color rgb="FF243447"/>
        <rFont val="Linux Libertine G"/>
        <family val="2"/>
      </rPr>
      <t>실제 청구서</t>
    </r>
    <r>
      <rPr>
        <sz val="10"/>
        <color rgb="FF243447"/>
        <rFont val="Arial"/>
        <family val="2"/>
      </rPr>
      <t xml:space="preserve">, </t>
    </r>
    <r>
      <rPr>
        <sz val="10"/>
        <color rgb="FF243447"/>
        <rFont val="Linux Libertine G"/>
        <family val="2"/>
      </rPr>
      <t>채널별 유입</t>
    </r>
    <r>
      <rPr>
        <sz val="10"/>
        <color rgb="FF243447"/>
        <rFont val="Arial"/>
        <family val="2"/>
      </rPr>
      <t>·</t>
    </r>
    <r>
      <rPr>
        <sz val="10"/>
        <color rgb="FF243447"/>
        <rFont val="Linux Libertine G"/>
        <family val="2"/>
      </rPr>
      <t>인프라 사용량</t>
    </r>
  </si>
  <si>
    <r>
      <rPr>
        <sz val="10"/>
        <color rgb="FF243447"/>
        <rFont val="Linux Libertine G"/>
        <family val="2"/>
      </rPr>
      <t>월 단위 계획 모델입니다</t>
    </r>
    <r>
      <rPr>
        <sz val="10"/>
        <color rgb="FF243447"/>
        <rFont val="Arial"/>
        <family val="2"/>
      </rPr>
      <t>. 14</t>
    </r>
    <r>
      <rPr>
        <sz val="10"/>
        <color rgb="FF243447"/>
        <rFont val="Linux Libertine G"/>
        <family val="2"/>
      </rPr>
      <t>일 체험의 일별 기산</t>
    </r>
    <r>
      <rPr>
        <sz val="10"/>
        <color rgb="FF243447"/>
        <rFont val="Arial"/>
        <family val="2"/>
      </rPr>
      <t>·</t>
    </r>
    <r>
      <rPr>
        <sz val="10"/>
        <color rgb="FF243447"/>
        <rFont val="Linux Libertine G"/>
        <family val="2"/>
      </rPr>
      <t>결제일</t>
    </r>
    <r>
      <rPr>
        <sz val="10"/>
        <color rgb="FF243447"/>
        <rFont val="Arial"/>
        <family val="2"/>
      </rPr>
      <t>·</t>
    </r>
    <r>
      <rPr>
        <sz val="10"/>
        <color rgb="FF243447"/>
        <rFont val="Linux Libertine G"/>
        <family val="2"/>
      </rPr>
      <t>환불</t>
    </r>
    <r>
      <rPr>
        <sz val="10"/>
        <color rgb="FF243447"/>
        <rFont val="Arial"/>
        <family val="2"/>
      </rPr>
      <t>·</t>
    </r>
    <r>
      <rPr>
        <sz val="10"/>
        <color rgb="FF243447"/>
        <rFont val="Linux Libertine G"/>
        <family val="2"/>
      </rPr>
      <t>부가세 매입세액은 별도 회계 장부에서 검증하세요</t>
    </r>
    <r>
      <rPr>
        <sz val="10"/>
        <color rgb="FF243447"/>
        <rFont val="Arial"/>
        <family val="2"/>
      </rPr>
      <t>.</t>
    </r>
  </si>
  <si>
    <t>P1a</t>
  </si>
  <si>
    <r>
      <rPr>
        <sz val="10"/>
        <color rgb="FF243447"/>
        <rFont val="Arial"/>
        <family val="2"/>
      </rPr>
      <t xml:space="preserve">Vercel Pro </t>
    </r>
    <r>
      <rPr>
        <sz val="10"/>
        <color rgb="FF243447"/>
        <rFont val="Linux Libertine G"/>
        <family val="2"/>
      </rPr>
      <t>포함량</t>
    </r>
  </si>
  <si>
    <r>
      <rPr>
        <sz val="10"/>
        <color rgb="FF243447"/>
        <rFont val="Arial"/>
        <family val="2"/>
      </rPr>
      <t>1TB Fast Data Transfer · 1</t>
    </r>
    <r>
      <rPr>
        <sz val="10"/>
        <color rgb="FF243447"/>
        <rFont val="Linux Libertine G"/>
        <family val="2"/>
      </rPr>
      <t xml:space="preserve">천만 </t>
    </r>
    <r>
      <rPr>
        <sz val="10"/>
        <color rgb="FF243447"/>
        <rFont val="Arial"/>
        <family val="2"/>
      </rPr>
      <t>Edge Requests</t>
    </r>
  </si>
  <si>
    <t>https://vercel.com/docs/plans/pro-plan</t>
  </si>
  <si>
    <t>P1b</t>
  </si>
  <si>
    <r>
      <rPr>
        <sz val="10"/>
        <color rgb="FF243447"/>
        <rFont val="Arial"/>
        <family val="2"/>
      </rPr>
      <t xml:space="preserve">Vercel </t>
    </r>
    <r>
      <rPr>
        <sz val="10"/>
        <color rgb="FF243447"/>
        <rFont val="Linux Libertine G"/>
        <family val="2"/>
      </rPr>
      <t>지역별 초과 단가</t>
    </r>
  </si>
  <si>
    <r>
      <rPr>
        <sz val="10"/>
        <color rgb="FF243447"/>
        <rFont val="Linux Libertine G"/>
        <family val="2"/>
      </rPr>
      <t xml:space="preserve">전송 </t>
    </r>
    <r>
      <rPr>
        <sz val="10"/>
        <color rgb="FF243447"/>
        <rFont val="Arial"/>
        <family val="2"/>
      </rPr>
      <t>$0.15~0.35/GB, Edge $2.00~3.20/</t>
    </r>
    <r>
      <rPr>
        <sz val="10"/>
        <color rgb="FF243447"/>
        <rFont val="Linux Libertine G"/>
        <family val="2"/>
      </rPr>
      <t>백만건</t>
    </r>
    <r>
      <rPr>
        <sz val="10"/>
        <color rgb="FF243447"/>
        <rFont val="Arial"/>
        <family val="2"/>
      </rPr>
      <t xml:space="preserve">. </t>
    </r>
    <r>
      <rPr>
        <sz val="10"/>
        <color rgb="FF243447"/>
        <rFont val="Linux Libertine G"/>
        <family val="2"/>
      </rPr>
      <t>상한 적용</t>
    </r>
  </si>
  <si>
    <t>https://vercel.com/docs/pricing/regional-pricing</t>
  </si>
  <si>
    <t>P2a</t>
  </si>
  <si>
    <r>
      <rPr>
        <sz val="10"/>
        <color rgb="FF243447"/>
        <rFont val="Arial"/>
        <family val="2"/>
      </rPr>
      <t xml:space="preserve">Supabase </t>
    </r>
    <r>
      <rPr>
        <sz val="10"/>
        <color rgb="FF243447"/>
        <rFont val="Linux Libertine G"/>
        <family val="2"/>
      </rPr>
      <t>요금 세목</t>
    </r>
  </si>
  <si>
    <r>
      <rPr>
        <sz val="10"/>
        <color rgb="FF243447"/>
        <rFont val="Linux Libertine G"/>
        <family val="2"/>
      </rPr>
      <t>무료</t>
    </r>
    <r>
      <rPr>
        <sz val="10"/>
        <color rgb="FF243447"/>
        <rFont val="Arial"/>
        <family val="2"/>
      </rPr>
      <t xml:space="preserve">·Pro </t>
    </r>
    <r>
      <rPr>
        <sz val="10"/>
        <color rgb="FF243447"/>
        <rFont val="Linux Libertine G"/>
        <family val="2"/>
      </rPr>
      <t xml:space="preserve">한도 및 </t>
    </r>
    <r>
      <rPr>
        <sz val="10"/>
        <color rgb="FF243447"/>
        <rFont val="Arial"/>
        <family val="2"/>
      </rPr>
      <t xml:space="preserve">MAU/DB/egress/storage </t>
    </r>
    <r>
      <rPr>
        <sz val="10"/>
        <color rgb="FF243447"/>
        <rFont val="Linux Libertine G"/>
        <family val="2"/>
      </rPr>
      <t>초과 단가</t>
    </r>
  </si>
  <si>
    <r>
      <rPr>
        <sz val="10"/>
        <color rgb="FF243447"/>
        <rFont val="Linux Libertine G"/>
        <family val="2"/>
      </rPr>
      <t>방문</t>
    </r>
    <r>
      <rPr>
        <sz val="10"/>
        <color rgb="FF243447"/>
        <rFont val="Arial"/>
        <family val="2"/>
      </rPr>
      <t>·</t>
    </r>
    <r>
      <rPr>
        <sz val="10"/>
        <color rgb="FF243447"/>
        <rFont val="Linux Libertine G"/>
        <family val="2"/>
      </rPr>
      <t>요청</t>
    </r>
    <r>
      <rPr>
        <sz val="10"/>
        <color rgb="FF243447"/>
        <rFont val="Arial"/>
        <family val="2"/>
      </rPr>
      <t>·</t>
    </r>
    <r>
      <rPr>
        <sz val="10"/>
        <color rgb="FF243447"/>
        <rFont val="Linux Libertine G"/>
        <family val="2"/>
      </rPr>
      <t>데이터 사용량</t>
    </r>
  </si>
  <si>
    <r>
      <rPr>
        <sz val="10"/>
        <color rgb="FF243447"/>
        <rFont val="Linux Libertine G"/>
        <family val="2"/>
      </rPr>
      <t>실측 전 편집 가능한 가정</t>
    </r>
    <r>
      <rPr>
        <sz val="10"/>
        <color rgb="FF243447"/>
        <rFont val="Arial"/>
        <family val="2"/>
      </rPr>
      <t>. Vercel</t>
    </r>
    <r>
      <rPr>
        <sz val="10"/>
        <color rgb="FF243447"/>
        <rFont val="Linux Libertine G"/>
        <family val="2"/>
      </rPr>
      <t>은 랜딩 트래픽만 근사</t>
    </r>
  </si>
  <si>
    <t>일반 무료체험 폐지. 피추천인만 Essential/EDU 14일·200분 체험.</t>
  </si>
  <si>
    <t>일반 가입은 당월 직접 결제. 전환율 15%는 임시 비교값(C102).</t>
  </si>
  <si>
    <t>월 이용 한도: Essential/EDU 400분, Pro 600분. 평균 사용량과 별도.</t>
  </si>
  <si>
    <t>피추천인 전용 체험 기간</t>
  </si>
  <si>
    <t>일반 체험 없음. 추천 코드·카드 등록 후 14일; 다음 달 유료 전환 근사</t>
  </si>
  <si>
    <t>피추천인 체험 최대 이용량</t>
  </si>
  <si>
    <t>14일 체험 전체 누적 200분; 월 한도가 아님</t>
  </si>
  <si>
    <t>이전 오가닉 카드 체험률 (미사용)</t>
  </si>
  <si>
    <t>기존 60% 보존. 일반 체험 폐지로 계산에 미사용</t>
  </si>
  <si>
    <t>이전 오가닉 체험 유료율 (미사용)</t>
  </si>
  <si>
    <t>기존 25% 보존. 신규 직접 결제 전환율은 C102</t>
  </si>
  <si>
    <t>평균 사용량 유지. 비용 산식에 Essential 월 한도 C100 적용</t>
  </si>
  <si>
    <t>평균 사용량 유지. EDU는 Essential과 동일한 월 한도</t>
  </si>
  <si>
    <t>평균 사용량 유지. 비용 산식에 Pro 월 한도 C101 적용</t>
  </si>
  <si>
    <t>피추천인 체험 평균 강의</t>
  </si>
  <si>
    <t>평균 80분 가정. 체험 전체 상한 C10=200분</t>
  </si>
  <si>
    <t>평균 사용량 유지. 요금제 구성별 월 한도 적용</t>
  </si>
  <si>
    <t>요금제 이용 한도 · 일반 가입 직접 결제</t>
  </si>
  <si>
    <t>Essential / EDU 월 이용 한도</t>
  </si>
  <si>
    <t>Essential과 EDU 동일. 월 평균 사용량과 별도</t>
  </si>
  <si>
    <t>Pro 월 이용 한도</t>
  </si>
  <si>
    <t>월 평균 사용량 C40과 별도</t>
  </si>
  <si>
    <t>일반 가입 → 당월 직접 유료 전환</t>
  </si>
  <si>
    <t>임시 비교 가정</t>
  </si>
  <si>
    <t>이전 60%×25%=15%를 임시 적용. 실측·확정값 아님</t>
  </si>
  <si>
    <t>일반 가입 직접 결제</t>
  </si>
  <si>
    <t>일반 가입 당월 신규 유료</t>
  </si>
  <si>
    <t>신규 Free (유료·체험 제외)</t>
  </si>
  <si>
    <t>피추천인 체험 활성</t>
  </si>
  <si>
    <t>피추천인 무료체험 강의량</t>
  </si>
  <si>
    <t>Essential 24,000 / EDU 14,000 / Pro 28,900원. 월 400/400/600분. 피추천인만 14일·200분 체험. 예약 첫달 무료, 추천 캠페인 M1~M2.</t>
  </si>
  <si>
    <t>일반 직접 결제 전환율 15%</t>
  </si>
  <si>
    <t>이전 체험 경로 60%×25%를 임시 비교값으로 적용. 실측·확정 정책 아님</t>
  </si>
  <si>
    <t>2026-09-26 정책 반영; Assumptions!C102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</si>
</sst>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(&quot;₩&quot;* #,##0_);_(&quot;₩&quot;* \(#,##0\);_(&quot;₩&quot;* &quot;-&quot;_);_(@_)"/>
    <numFmt numFmtId="41" formatCode="_(* #,##0_);_(* \(#,##0\);_(* &quot;-&quot;_);_(@_)"/>
    <numFmt numFmtId="44" formatCode="_(&quot;₩&quot;* #,##0.00_);_(&quot;₩&quot;* \(#,##0.00\);_(&quot;₩&quot;* &quot;-&quot;??_);_(@_)"/>
    <numFmt numFmtId="43" formatCode="_(* #,##0.00_);_(* \(#,##0.00\);_(* &quot;-&quot;??_);_(@_)"/>
    <numFmt numFmtId="176" formatCode="#,##0.0;[Red]\(#,##0.0\);\–"/>
    <numFmt numFmtId="177" formatCode="#,##0&quot;원&quot;;[Red]\(#,##0&quot;원)&quot;;\–"/>
    <numFmt numFmtId="178" formatCode="#,##0;[Red]\(#,##0\);\–"/>
    <numFmt numFmtId="179" formatCode="0.00\x"/>
    <numFmt numFmtId="180" formatCode="0.0%;[Red]\(0.0%\);\–"/>
    <numFmt numFmtId="181" formatCode="0.00000"/>
    <numFmt numFmtId="183" formatCode="0.0%"/>
    <numFmt numFmtId="184" formatCode="0.00;[Red]\(0.00\);\–"/>
    <numFmt numFmtId="186" formatCode="0.000"/>
    <numFmt numFmtId="187" formatCode="0.0000"/>
    <numFmt numFmtId="188" formatCode="0.0"/>
  </numFmts>
  <fonts count="35">
    <font>
      <sz val="10"/>
      <name val="Linux Libertine G"/>
    </font>
    <font>
      <sz val="10"/>
      <name val="Arial"/>
      <family val="2"/>
    </font>
    <font>
      <sz val="11"/>
      <name val="Calibri"/>
      <family val="2"/>
    </font>
    <font>
      <sz val="10"/>
      <color rgb="FF243447"/>
      <name val="Linux Libertine G"/>
    </font>
    <font>
      <b/>
      <sz val="15"/>
      <color rgb="FF17324D"/>
      <name val="Linux Libertine G"/>
    </font>
    <font>
      <b/>
      <sz val="15"/>
      <color rgb="FF17324D"/>
      <name val="Arial"/>
      <family val="2"/>
    </font>
    <font>
      <i/>
      <sz val="10"/>
      <color rgb="FF64748B"/>
      <name val="Linux Libertine G"/>
    </font>
    <font>
      <i/>
      <sz val="10"/>
      <color rgb="FF64748B"/>
      <name val="Arial"/>
      <family val="2"/>
    </font>
    <font>
      <b/>
      <sz val="10"/>
      <color rgb="FFFFFFFF"/>
      <name val="Linux Libertine G"/>
    </font>
    <font>
      <b/>
      <sz val="10"/>
      <color rgb="FFFFFFFF"/>
      <name val="Arial"/>
      <family val="2"/>
    </font>
    <font>
      <sz val="10"/>
      <color rgb="FF243447"/>
      <name val="Arial"/>
      <family val="2"/>
    </font>
    <font>
      <b/>
      <sz val="11"/>
      <color rgb="FF17324D"/>
      <name val="Linux Libertine G"/>
    </font>
    <font>
      <b/>
      <sz val="11"/>
      <color rgb="FF17324D"/>
      <name val="Arial"/>
      <family val="2"/>
    </font>
    <font>
      <b/>
      <sz val="10"/>
      <color rgb="FF17324D"/>
      <name val="Linux Libertine G"/>
    </font>
    <font>
      <sz val="9"/>
      <color rgb="FF64748B"/>
      <name val="Linux Libertine G"/>
    </font>
    <font>
      <sz val="9"/>
      <color rgb="FF64748B"/>
      <name val="Arial"/>
      <family val="2"/>
    </font>
    <font>
      <sz val="10"/>
      <color rgb="FF000000"/>
      <name val="Arial"/>
      <family val="2"/>
    </font>
    <font>
      <b/>
      <sz val="10"/>
      <color rgb="FF17324D"/>
      <name val="Arial"/>
      <family val="2"/>
    </font>
    <font>
      <sz val="10"/>
      <color rgb="FF0057A5"/>
      <name val="Arial"/>
      <family val="2"/>
    </font>
    <font>
      <i/>
      <sz val="9"/>
      <color rgb="FF64748B"/>
      <name val="Arial"/>
      <family val="2"/>
    </font>
    <font>
      <sz val="10"/>
      <color rgb="FF1F2937"/>
      <name val="Arial"/>
      <family val="2"/>
    </font>
    <font>
      <sz val="10"/>
      <name val="Arial"/>
      <family val="2"/>
    </font>
    <font>
      <sz val="10"/>
      <color rgb="FF0070C0"/>
      <name val="Arial"/>
      <family val="2"/>
    </font>
    <font>
      <b/>
      <sz val="15"/>
      <color rgb="FF17324D"/>
      <name val="Linux Libertine G"/>
      <family val="2"/>
    </font>
    <font>
      <i/>
      <sz val="10"/>
      <color rgb="FF64748B"/>
      <name val="Linux Libertine G"/>
      <family val="2"/>
    </font>
    <font>
      <sz val="10"/>
      <color rgb="FF243447"/>
      <name val="Linux Libertine G"/>
      <family val="2"/>
    </font>
    <font>
      <b/>
      <sz val="10"/>
      <color rgb="FFFFFFFF"/>
      <name val="Linux Libertine G"/>
      <family val="2"/>
    </font>
    <font>
      <b/>
      <sz val="11"/>
      <color rgb="FF17324D"/>
      <name val="Linux Libertine G"/>
      <family val="2"/>
    </font>
    <font>
      <sz val="9"/>
      <color rgb="FF64748B"/>
      <name val="Linux Libertine G"/>
      <family val="2"/>
    </font>
    <font>
      <b/>
      <sz val="10"/>
      <color rgb="FF17324D"/>
      <name val="Linux Libertine G"/>
      <family val="2"/>
    </font>
    <font>
      <i/>
      <sz val="9"/>
      <color rgb="FF64748B"/>
      <name val="Linux Libertine G"/>
      <family val="2"/>
    </font>
    <font>
      <sz val="10"/>
      <color rgb="FF000000"/>
      <name val="Linux Libertine G"/>
      <family val="2"/>
    </font>
    <font>
      <sz val="11"/>
      <color rgb="FF000000"/>
      <name val="Calibri"/>
      <family val="2"/>
    </font>
    <font>
      <sz val="11"/>
      <color rgb="FF000000"/>
      <name val="Linux Libertine G"/>
      <family val="2"/>
    </font>
    <font>
      <sz val="8"/>
      <name val="나눔명조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8F0F8"/>
      </patternFill>
    </fill>
    <fill>
      <patternFill patternType="solid">
        <fgColor rgb="FFFFF3D8"/>
      </patternFill>
    </fill>
    <fill>
      <patternFill patternType="solid">
        <fgColor rgb="FFFFF2CC"/>
      </patternFill>
    </fill>
    <fill>
      <patternFill patternType="solid">
        <fgColor rgb="FF17324D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BAC9D7"/>
      </bottom>
      <diagonal/>
    </border>
  </borders>
  <cellStyleXfs count="7">
    <xf numFmtId="0" fontId="0" fillId="0" borderId="0"/>
    <xf numFmtId="43" fontId="1" fillId="0" borderId="0" applyBorder="0" applyAlignment="0" applyProtection="0"/>
    <xf numFmtId="41" fontId="1" fillId="0" borderId="0" applyBorder="0" applyAlignment="0" applyProtection="0"/>
    <xf numFmtId="44" fontId="1" fillId="0" borderId="0" applyBorder="0" applyAlignment="0" applyProtection="0"/>
    <xf numFmtId="42" fontId="1" fillId="0" borderId="0" applyBorder="0" applyAlignment="0" applyProtection="0"/>
    <xf numFmtId="9" fontId="1" fillId="0" borderId="0" applyBorder="0" applyAlignment="0" applyProtection="0"/>
    <xf numFmtId="0" fontId="2" fillId="0" borderId="0"/>
  </cellStyleXfs>
  <cellXfs count="51">
    <xf numFmtId="0" fontId="0" fillId="0" borderId="0" xfId="0"/>
    <xf numFmtId="0" fontId="3" fillId="0" borderId="0" xfId="6" applyFont="1" applyAlignment="1">
      <alignment vertical="center"/>
    </xf>
    <xf numFmtId="0" fontId="4" fillId="0" borderId="0" xfId="6" applyFont="1" applyAlignment="1">
      <alignment vertical="center"/>
    </xf>
    <xf numFmtId="0" fontId="3" fillId="0" borderId="1" xfId="6" applyFont="1" applyBorder="1" applyAlignment="1">
      <alignment vertical="center"/>
    </xf>
    <xf numFmtId="0" fontId="6" fillId="0" borderId="0" xfId="6" applyFont="1" applyAlignment="1">
      <alignment vertical="center"/>
    </xf>
    <xf numFmtId="0" fontId="8" fillId="2" borderId="0" xfId="6" applyFont="1" applyFill="1" applyAlignment="1">
      <alignment vertical="center"/>
    </xf>
    <xf numFmtId="0" fontId="9" fillId="2" borderId="0" xfId="6" applyFont="1" applyFill="1" applyAlignment="1">
      <alignment vertical="center"/>
    </xf>
    <xf numFmtId="176" fontId="10" fillId="0" borderId="0" xfId="6" applyNumberFormat="1" applyFont="1" applyAlignment="1">
      <alignment vertical="center"/>
    </xf>
    <xf numFmtId="177" fontId="10" fillId="0" borderId="0" xfId="6" applyNumberFormat="1" applyFont="1" applyAlignment="1">
      <alignment vertical="center"/>
    </xf>
    <xf numFmtId="0" fontId="11" fillId="0" borderId="0" xfId="6" applyFont="1" applyAlignment="1">
      <alignment vertical="center"/>
    </xf>
    <xf numFmtId="0" fontId="13" fillId="3" borderId="0" xfId="6" applyFont="1" applyFill="1" applyAlignment="1">
      <alignment vertical="center"/>
    </xf>
    <xf numFmtId="0" fontId="10" fillId="0" borderId="0" xfId="6" applyFont="1" applyAlignment="1">
      <alignment vertical="center"/>
    </xf>
    <xf numFmtId="178" fontId="10" fillId="0" borderId="0" xfId="6" applyNumberFormat="1" applyFont="1" applyAlignment="1">
      <alignment vertical="center"/>
    </xf>
    <xf numFmtId="0" fontId="14" fillId="0" borderId="0" xfId="6" applyFont="1" applyAlignment="1">
      <alignment vertical="center"/>
    </xf>
    <xf numFmtId="0" fontId="15" fillId="0" borderId="0" xfId="6" applyFont="1" applyAlignment="1">
      <alignment vertical="center"/>
    </xf>
    <xf numFmtId="177" fontId="18" fillId="4" borderId="0" xfId="6" applyNumberFormat="1" applyFont="1" applyFill="1" applyAlignment="1">
      <alignment vertical="center"/>
    </xf>
    <xf numFmtId="179" fontId="18" fillId="4" borderId="0" xfId="6" applyNumberFormat="1" applyFont="1" applyFill="1" applyAlignment="1">
      <alignment vertical="center"/>
    </xf>
    <xf numFmtId="0" fontId="19" fillId="0" borderId="0" xfId="6" applyFont="1" applyAlignment="1">
      <alignment vertical="center"/>
    </xf>
    <xf numFmtId="176" fontId="18" fillId="4" borderId="0" xfId="6" applyNumberFormat="1" applyFont="1" applyFill="1" applyAlignment="1">
      <alignment vertical="center"/>
    </xf>
    <xf numFmtId="180" fontId="10" fillId="0" borderId="0" xfId="6" applyNumberFormat="1" applyFont="1" applyAlignment="1">
      <alignment vertical="center"/>
    </xf>
    <xf numFmtId="180" fontId="18" fillId="4" borderId="0" xfId="6" applyNumberFormat="1" applyFont="1" applyFill="1" applyAlignment="1">
      <alignment vertical="center"/>
    </xf>
    <xf numFmtId="2" fontId="18" fillId="4" borderId="0" xfId="6" applyNumberFormat="1" applyFont="1" applyFill="1" applyAlignment="1">
      <alignment vertical="center"/>
    </xf>
    <xf numFmtId="181" fontId="18" fillId="4" borderId="0" xfId="6" applyNumberFormat="1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10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1" fillId="0" borderId="0" xfId="6" applyFont="1"/>
    <xf numFmtId="0" fontId="0" fillId="0" borderId="0" xfId="0" applyAlignment="1">
      <alignment wrapText="1"/>
    </xf>
    <xf numFmtId="0" fontId="5" fillId="0" borderId="0" xfId="6" applyFont="1" applyAlignment="1">
      <alignment vertical="center"/>
    </xf>
    <xf numFmtId="176" fontId="17" fillId="3" borderId="0" xfId="6" applyNumberFormat="1" applyFont="1" applyFill="1" applyAlignment="1">
      <alignment vertical="center"/>
    </xf>
    <xf numFmtId="0" fontId="17" fillId="3" borderId="0" xfId="6" applyFont="1" applyFill="1" applyAlignment="1">
      <alignment vertical="center"/>
    </xf>
    <xf numFmtId="178" fontId="17" fillId="3" borderId="0" xfId="6" applyNumberFormat="1" applyFont="1" applyFill="1" applyAlignment="1">
      <alignment vertical="center"/>
    </xf>
    <xf numFmtId="184" fontId="10" fillId="0" borderId="0" xfId="6" applyNumberFormat="1" applyFont="1" applyAlignment="1">
      <alignment vertical="center"/>
    </xf>
    <xf numFmtId="0" fontId="10" fillId="0" borderId="0" xfId="6" applyFont="1" applyAlignment="1">
      <alignment vertical="center" wrapText="1"/>
    </xf>
    <xf numFmtId="0" fontId="3" fillId="0" borderId="0" xfId="6" applyFont="1" applyAlignment="1">
      <alignment vertical="center" wrapText="1"/>
    </xf>
    <xf numFmtId="3" fontId="10" fillId="0" borderId="0" xfId="6" applyNumberFormat="1" applyFont="1" applyAlignment="1">
      <alignment vertical="center"/>
    </xf>
    <xf numFmtId="3" fontId="2" fillId="0" borderId="0" xfId="6" applyNumberFormat="1"/>
    <xf numFmtId="1" fontId="10" fillId="0" borderId="0" xfId="6" applyNumberFormat="1" applyFont="1" applyAlignment="1">
      <alignment vertical="center"/>
    </xf>
    <xf numFmtId="1" fontId="2" fillId="0" borderId="0" xfId="6" applyNumberFormat="1"/>
    <xf numFmtId="186" fontId="10" fillId="0" borderId="0" xfId="6" applyNumberFormat="1" applyFont="1" applyAlignment="1">
      <alignment vertical="center"/>
    </xf>
    <xf numFmtId="186" fontId="2" fillId="0" borderId="0" xfId="6" applyNumberFormat="1"/>
    <xf numFmtId="2" fontId="2" fillId="0" borderId="0" xfId="6" applyNumberFormat="1"/>
    <xf numFmtId="3" fontId="20" fillId="5" borderId="0" xfId="6" applyNumberFormat="1" applyFont="1" applyFill="1" applyAlignment="1">
      <alignment vertical="center"/>
    </xf>
    <xf numFmtId="183" fontId="20" fillId="5" borderId="0" xfId="6" applyNumberFormat="1" applyFont="1" applyFill="1" applyAlignment="1">
      <alignment vertical="center"/>
    </xf>
    <xf numFmtId="187" fontId="20" fillId="5" borderId="0" xfId="6" applyNumberFormat="1" applyFont="1" applyFill="1" applyAlignment="1">
      <alignment vertical="center"/>
    </xf>
    <xf numFmtId="187" fontId="20" fillId="5" borderId="0" xfId="6" applyNumberFormat="1" applyFont="1" applyFill="1"/>
    <xf numFmtId="188" fontId="20" fillId="5" borderId="0" xfId="6" applyNumberFormat="1" applyFont="1" applyFill="1" applyAlignment="1">
      <alignment vertical="center"/>
    </xf>
    <xf numFmtId="0" fontId="9" fillId="6" borderId="0" xfId="6" applyFont="1" applyFill="1"/>
    <xf numFmtId="3" fontId="22" fillId="7" borderId="0" xfId="6" applyNumberFormat="1" applyFont="1" applyFill="1"/>
    <xf numFmtId="183" fontId="22" fillId="7" borderId="0" xfId="6" applyNumberFormat="1" applyFont="1" applyFill="1"/>
    <xf numFmtId="0" fontId="0" fillId="0" borderId="0" xfId="6" applyFont="1" applyAlignment="1">
      <alignment wrapText="1"/>
    </xf>
  </cellXfs>
  <cellStyles count="7">
    <cellStyle name="표준" xfId="0" builtinId="0"/>
    <cellStyle name="Comma" xfId="1" xr:uid="{00000000-0005-0000-0000-000001000000}"/>
    <cellStyle name="Comma [0]" xfId="2" xr:uid="{00000000-0005-0000-0000-000002000000}"/>
    <cellStyle name="Currency" xfId="3" xr:uid="{00000000-0005-0000-0000-000003000000}"/>
    <cellStyle name="Currency [0]" xfId="4" xr:uid="{00000000-0005-0000-0000-000004000000}"/>
    <cellStyle name="Normal" xfId="6" xr:uid="{00000000-0005-0000-0000-000000000000}"/>
    <cellStyle name="Percent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B56"/>
      <rgbColor rgb="FFBAC9D7"/>
      <rgbColor rgb="FF8B8B8B"/>
      <rgbColor rgb="FF9999FF"/>
      <rgbColor rgb="FF993366"/>
      <rgbColor rgb="FFFFF2CC"/>
      <rgbColor rgb="FFE8F0F8"/>
      <rgbColor rgb="FF660066"/>
      <rgbColor rgb="FFFF8080"/>
      <rgbColor rgb="FF0057A5"/>
      <rgbColor rgb="FFCCCCCC"/>
      <rgbColor rgb="FF000080"/>
      <rgbColor rgb="FFFF00FF"/>
      <rgbColor rgb="FFFFFF00"/>
      <rgbColor rgb="FF00FFFF"/>
      <rgbColor rgb="FF800080"/>
      <rgbColor rgb="FF800000"/>
      <rgbColor rgb="FF2468A1"/>
      <rgbColor rgb="FF0000FF"/>
      <rgbColor rgb="FF00CCFF"/>
      <rgbColor rgb="FFCCFFFF"/>
      <rgbColor rgb="FFD9D9D9"/>
      <rgbColor rgb="FFFFF3D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3752E"/>
      <rgbColor rgb="FF64748B"/>
      <rgbColor rgb="FF969696"/>
      <rgbColor rgb="FF17324D"/>
      <rgbColor rgb="FF339966"/>
      <rgbColor rgb="FF003300"/>
      <rgbColor rgb="FF1F2937"/>
      <rgbColor rgb="FF993300"/>
      <rgbColor rgb="FF993366"/>
      <rgbColor rgb="FF333399"/>
      <rgbColor rgb="FF24344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rPr lang="ko-KR" altLang="en-US" sz="900" b="1" u="none">
                <a:solidFill>
                  <a:srgbClr val="000000"/>
                </a:solidFill>
                <a:latin typeface="Arial"/>
                <a:ea typeface="Arial"/>
                <a:cs typeface="Arial"/>
              </a:rPr>
              <a:t>월별 순매출 </a:t>
            </a:r>
            <a:r>
              <a:rPr lang="en-US" altLang="ko-KR" sz="900" b="1" u="none">
                <a:solidFill>
                  <a:srgbClr val="000000"/>
                </a:solidFill>
                <a:latin typeface="Arial"/>
                <a:ea typeface="Arial"/>
                <a:cs typeface="Arial"/>
              </a:rPr>
              <a:t>· </a:t>
            </a:r>
            <a:r>
              <a:rPr lang="ko-KR" altLang="en-US" sz="900" b="1" u="none">
                <a:solidFill>
                  <a:srgbClr val="000000"/>
                </a:solidFill>
                <a:latin typeface="Arial"/>
                <a:ea typeface="Arial"/>
                <a:cs typeface="Arial"/>
              </a:rPr>
              <a:t>비용 </a:t>
            </a:r>
            <a:r>
              <a:rPr lang="en-US" altLang="ko-KR" sz="900" b="1" u="none">
                <a:solidFill>
                  <a:srgbClr val="000000"/>
                </a:solidFill>
                <a:latin typeface="Arial"/>
                <a:ea typeface="Arial"/>
                <a:cs typeface="Arial"/>
              </a:rPr>
              <a:t>· </a:t>
            </a:r>
            <a:r>
              <a:rPr lang="ko-KR" altLang="en-US" sz="900" b="1" u="none">
                <a:solidFill>
                  <a:srgbClr val="000000"/>
                </a:solidFill>
                <a:latin typeface="Arial"/>
                <a:ea typeface="Arial"/>
                <a:cs typeface="Arial"/>
              </a:rPr>
              <a:t>순이익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순매출</c:v>
          </c:tx>
          <c:spPr>
            <a:ln w="19080">
              <a:solidFill>
                <a:srgbClr val="2468A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anchorCtr="1"/>
              <a:lstStyle/>
              <a:p>
                <a:pPr>
                  <a:defRPr sz="1000" b="0" u="non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Overview!$A$25:$A$48</c:f>
              <c:strCache>
                <c:ptCount val="24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</c:strCache>
            </c:strRef>
          </c:cat>
          <c:val>
            <c:numRef>
              <c:f>Overview!$B$25:$B$48</c:f>
              <c:numCache>
                <c:formatCode>#,##0;[Red]\(#,##0\);\–</c:formatCode>
                <c:ptCount val="24"/>
                <c:pt idx="0">
                  <c:v>55186.36363636364</c:v>
                </c:pt>
                <c:pt idx="1">
                  <c:v>189724.7028681818</c:v>
                </c:pt>
                <c:pt idx="2">
                  <c:v>239782.03725910914</c:v>
                </c:pt>
                <c:pt idx="3">
                  <c:v>288414.8619391637</c:v>
                </c:pt>
                <c:pt idx="4">
                  <c:v>337035.68068982998</c:v>
                </c:pt>
                <c:pt idx="5">
                  <c:v>385898.73553619219</c:v>
                </c:pt>
                <c:pt idx="6">
                  <c:v>435156.22179291287</c:v>
                </c:pt>
                <c:pt idx="7">
                  <c:v>484958.97919575527</c:v>
                </c:pt>
                <c:pt idx="8">
                  <c:v>535456.9979046951</c:v>
                </c:pt>
                <c:pt idx="9">
                  <c:v>586799.91308513633</c:v>
                </c:pt>
                <c:pt idx="10">
                  <c:v>639137.4898463462</c:v>
                </c:pt>
                <c:pt idx="11">
                  <c:v>692620.10025477188</c:v>
                </c:pt>
                <c:pt idx="12">
                  <c:v>747399.19408498763</c:v>
                </c:pt>
                <c:pt idx="13">
                  <c:v>803627.76492239581</c:v>
                </c:pt>
                <c:pt idx="14">
                  <c:v>861460.81318915193</c:v>
                </c:pt>
                <c:pt idx="15">
                  <c:v>921055.80762792565</c:v>
                </c:pt>
                <c:pt idx="16">
                  <c:v>982573.1467467614</c:v>
                </c:pt>
                <c:pt idx="17">
                  <c:v>1046176.6217023429</c:v>
                </c:pt>
                <c:pt idx="18">
                  <c:v>1112033.8820781361</c:v>
                </c:pt>
                <c:pt idx="19">
                  <c:v>1180316.9059981157</c:v>
                </c:pt>
                <c:pt idx="20">
                  <c:v>1251202.4760058653</c:v>
                </c:pt>
                <c:pt idx="21">
                  <c:v>1324872.6621327004</c:v>
                </c:pt>
                <c:pt idx="22">
                  <c:v>1401515.3135769789</c:v>
                </c:pt>
                <c:pt idx="23">
                  <c:v>1481324.5604198622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6B-C246-BBF2-62E2B1BF1F76}"/>
            </c:ext>
          </c:extLst>
        </c:ser>
        <c:ser>
          <c:idx val="1"/>
          <c:order val="1"/>
          <c:tx>
            <c:v>전체 비용</c:v>
          </c:tx>
          <c:spPr>
            <a:ln w="19080">
              <a:solidFill>
                <a:srgbClr val="E3752E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anchorCtr="1"/>
              <a:lstStyle/>
              <a:p>
                <a:pPr>
                  <a:defRPr sz="1000" b="0" u="non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Overview!$A$25:$A$48</c:f>
              <c:strCache>
                <c:ptCount val="24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</c:strCache>
            </c:strRef>
          </c:cat>
          <c:val>
            <c:numRef>
              <c:f>Overview!$C$25:$C$48</c:f>
              <c:numCache>
                <c:formatCode>#,##0;[Red]\(#,##0\);\–</c:formatCode>
                <c:ptCount val="24"/>
                <c:pt idx="0">
                  <c:v>237720.66495248</c:v>
                </c:pt>
                <c:pt idx="1">
                  <c:v>243534.35837458831</c:v>
                </c:pt>
                <c:pt idx="2">
                  <c:v>247212.83628392601</c:v>
                </c:pt>
                <c:pt idx="3">
                  <c:v>250729.11666017468</c:v>
                </c:pt>
                <c:pt idx="4">
                  <c:v>254176.87760372862</c:v>
                </c:pt>
                <c:pt idx="5">
                  <c:v>257595.13965119337</c:v>
                </c:pt>
                <c:pt idx="6">
                  <c:v>261011.53764699114</c:v>
                </c:pt>
                <c:pt idx="7">
                  <c:v>264448.36844379752</c:v>
                </c:pt>
                <c:pt idx="8">
                  <c:v>267924.2110781651</c:v>
                </c:pt>
                <c:pt idx="9">
                  <c:v>271455.07007844397</c:v>
                </c:pt>
                <c:pt idx="10">
                  <c:v>275055.18489680963</c:v>
                </c:pt>
                <c:pt idx="11">
                  <c:v>278737.60559001769</c:v>
                </c:pt>
                <c:pt idx="12">
                  <c:v>282514.60486582451</c:v>
                </c:pt>
                <c:pt idx="13">
                  <c:v>286397.97560610186</c:v>
                </c:pt>
                <c:pt idx="14">
                  <c:v>290399.24827309651</c:v>
                </c:pt>
                <c:pt idx="15">
                  <c:v>294529.85231175023</c:v>
                </c:pt>
                <c:pt idx="16">
                  <c:v>298801.23845527688</c:v>
                </c:pt>
                <c:pt idx="17">
                  <c:v>303224.9737970499</c:v>
                </c:pt>
                <c:pt idx="18">
                  <c:v>307812.81796089571</c:v>
                </c:pt>
                <c:pt idx="19">
                  <c:v>312576.7862302587</c:v>
                </c:pt>
                <c:pt idx="20">
                  <c:v>317529.20376668783</c:v>
                </c:pt>
                <c:pt idx="21">
                  <c:v>322682.75383729738</c:v>
                </c:pt>
                <c:pt idx="22">
                  <c:v>328050.52212359942</c:v>
                </c:pt>
                <c:pt idx="23">
                  <c:v>333646.03859141178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6B-C246-BBF2-62E2B1BF1F76}"/>
            </c:ext>
          </c:extLst>
        </c:ser>
        <c:ser>
          <c:idx val="2"/>
          <c:order val="2"/>
          <c:tx>
            <c:v>순이익</c:v>
          </c:tx>
          <c:spPr>
            <a:ln w="19080">
              <a:solidFill>
                <a:srgbClr val="0F7B5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anchorCtr="1"/>
              <a:lstStyle/>
              <a:p>
                <a:pPr>
                  <a:defRPr sz="1000" b="0" u="non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Overview!$A$25:$A$48</c:f>
              <c:strCache>
                <c:ptCount val="24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</c:strCache>
            </c:strRef>
          </c:cat>
          <c:val>
            <c:numRef>
              <c:f>Overview!$D$25:$D$48</c:f>
              <c:numCache>
                <c:formatCode>#,##0;[Red]\(#,##0\);\–</c:formatCode>
                <c:ptCount val="24"/>
                <c:pt idx="0">
                  <c:v>-182534.30131611635</c:v>
                </c:pt>
                <c:pt idx="1">
                  <c:v>-53809.655506406503</c:v>
                </c:pt>
                <c:pt idx="2">
                  <c:v>-7430.7990248168644</c:v>
                </c:pt>
                <c:pt idx="3">
                  <c:v>37685.745278989023</c:v>
                </c:pt>
                <c:pt idx="4">
                  <c:v>82858.803086101369</c:v>
                </c:pt>
                <c:pt idx="5">
                  <c:v>127796.25704472387</c:v>
                </c:pt>
                <c:pt idx="6">
                  <c:v>156730.21573132955</c:v>
                </c:pt>
                <c:pt idx="7">
                  <c:v>198459.54967676196</c:v>
                </c:pt>
                <c:pt idx="8">
                  <c:v>240779.508143877</c:v>
                </c:pt>
                <c:pt idx="9">
                  <c:v>283810.35870602314</c:v>
                </c:pt>
                <c:pt idx="10">
                  <c:v>327674.07445458294</c:v>
                </c:pt>
                <c:pt idx="11">
                  <c:v>372494.2451982788</c:v>
                </c:pt>
                <c:pt idx="12">
                  <c:v>418396.1302972468</c:v>
                </c:pt>
                <c:pt idx="13">
                  <c:v>465506.81038466457</c:v>
                </c:pt>
                <c:pt idx="14">
                  <c:v>513955.40842444985</c:v>
                </c:pt>
                <c:pt idx="15">
                  <c:v>563873.35978455795</c:v>
                </c:pt>
                <c:pt idx="16">
                  <c:v>615394.71746233606</c:v>
                </c:pt>
                <c:pt idx="17">
                  <c:v>668656.48311476363</c:v>
                </c:pt>
                <c:pt idx="18">
                  <c:v>723798.95770551637</c:v>
                </c:pt>
                <c:pt idx="19">
                  <c:v>780966.10779107129</c:v>
                </c:pt>
                <c:pt idx="20">
                  <c:v>840305.94501525979</c:v>
                </c:pt>
                <c:pt idx="21">
                  <c:v>901970.9174658627</c:v>
                </c:pt>
                <c:pt idx="22">
                  <c:v>966118.3123080415</c:v>
                </c:pt>
                <c:pt idx="23">
                  <c:v>1032910.6696456053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6B-C246-BBF2-62E2B1BF1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695925"/>
        <c:axId val="5345648"/>
      </c:lineChart>
      <c:catAx>
        <c:axId val="81695925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</a:ln>
        </c:spPr>
        <c:txPr>
          <a:bodyPr anchorCtr="1"/>
          <a:lstStyle/>
          <a:p>
            <a:pPr>
              <a:defRPr sz="675" b="0" u="non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5345648"/>
        <c:crosses val="autoZero"/>
        <c:auto val="1"/>
        <c:lblAlgn val="ctr"/>
        <c:lblOffset val="100"/>
        <c:noMultiLvlLbl val="1"/>
      </c:catAx>
      <c:valAx>
        <c:axId val="5345648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</a:ln>
        </c:spPr>
        <c:txPr>
          <a:bodyPr anchorCtr="1"/>
          <a:lstStyle/>
          <a:p>
            <a:pPr>
              <a:defRPr sz="675" b="0" u="non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81695925"/>
        <c:crosses val="autoZero"/>
        <c:crossBetween val="between"/>
      </c:valAx>
      <c:spPr>
        <a:ln w="0">
          <a:noFill/>
        </a:ln>
      </c:spPr>
    </c:plotArea>
    <c:legend>
      <c:legendPos val="t"/>
      <c:overlay val="0"/>
      <c:spPr>
        <a:noFill/>
      </c:spPr>
      <c:txPr>
        <a:bodyPr anchorCtr="1"/>
        <a:lstStyle/>
        <a:p>
          <a:pPr>
            <a:defRPr sz="1000" b="0" u="non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ko-KR"/>
        </a:p>
      </c:txPr>
    </c:legend>
    <c:plotVisOnly val="1"/>
    <c:dispBlanksAs val="zero"/>
    <c:showDLblsOverMax val="1"/>
  </c:chart>
  <c:spPr>
    <a:ln w="9360">
      <a:solidFill>
        <a:srgbClr val="D9D9D9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16</xdr:col>
      <xdr:colOff>786600</xdr:colOff>
      <xdr:row>20</xdr:row>
      <xdr:rowOff>209160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5"/>
  <sheetViews>
    <sheetView showGridLines="0" workbookViewId="0"/>
  </sheetViews>
  <sheetFormatPr baseColWidth="10" defaultColWidth="10.59765625" defaultRowHeight="13"/>
  <cols>
    <col min="1" max="1" width="37.19921875" customWidth="1"/>
    <col min="2" max="4" width="17.3984375" customWidth="1"/>
    <col min="5" max="5" width="2.59765625" customWidth="1"/>
    <col min="6" max="17" width="13.3984375" customWidth="1"/>
    <col min="18" max="26" width="14.3984375" customWidth="1"/>
  </cols>
  <sheetData>
    <row r="1" spans="1:26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>
      <c r="A3" s="3"/>
      <c r="B3" s="3"/>
      <c r="C3" s="3"/>
      <c r="D3" s="3"/>
      <c r="E3" s="3"/>
      <c r="F3" s="3"/>
      <c r="G3" s="3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>
      <c r="A4" s="4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>
      <c r="A6" s="5" t="s">
        <v>2</v>
      </c>
      <c r="B6" s="6" t="s">
        <v>3</v>
      </c>
      <c r="C6" s="6" t="s">
        <v>4</v>
      </c>
      <c r="D6" s="6" t="s">
        <v>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>
      <c r="A7" s="1" t="s">
        <v>6</v>
      </c>
      <c r="B7" s="7">
        <f>'Monthly Model'!H14</f>
        <v>25.525631250000004</v>
      </c>
      <c r="C7" s="7">
        <f>'Monthly Model'!N14</f>
        <v>34.206787162326279</v>
      </c>
      <c r="D7" s="7">
        <f>'Monthly Model'!Z14</f>
        <v>61.430475118356213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>
      <c r="A8" s="1" t="s">
        <v>7</v>
      </c>
      <c r="B8" s="7">
        <f>'Monthly Model'!H34</f>
        <v>20.977939663445088</v>
      </c>
      <c r="C8" s="7">
        <f>'Monthly Model'!N34</f>
        <v>37.651698061786448</v>
      </c>
      <c r="D8" s="7">
        <f>'Monthly Model'!Z34</f>
        <v>80.526662538267743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>
      <c r="A9" s="1" t="s">
        <v>8</v>
      </c>
      <c r="B9" s="8">
        <f>'Monthly Model'!H52</f>
        <v>385898.73553619219</v>
      </c>
      <c r="C9" s="8">
        <f>'Monthly Model'!N52</f>
        <v>692620.10025477188</v>
      </c>
      <c r="D9" s="8">
        <f>'Monthly Model'!Z52</f>
        <v>1481324.5604198622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>
      <c r="A10" s="1" t="s">
        <v>9</v>
      </c>
      <c r="B10" s="8">
        <f>'Monthly Model'!H74</f>
        <v>257595.13965119337</v>
      </c>
      <c r="C10" s="8">
        <f>'Monthly Model'!N74</f>
        <v>278737.60559001769</v>
      </c>
      <c r="D10" s="8">
        <f>'Monthly Model'!Z74</f>
        <v>333646.03859141178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>
      <c r="A11" s="1" t="s">
        <v>10</v>
      </c>
      <c r="B11" s="8">
        <f>'Monthly Model'!H80</f>
        <v>127796.25704472387</v>
      </c>
      <c r="C11" s="8">
        <f>'Monthly Model'!N80</f>
        <v>372494.2451982788</v>
      </c>
      <c r="D11" s="8">
        <f>'Monthly Model'!Z80</f>
        <v>1032910.6696456053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>
      <c r="A12" s="1" t="s">
        <v>11</v>
      </c>
      <c r="B12" s="8">
        <f>'Monthly Model'!H81</f>
        <v>4566.0495624745381</v>
      </c>
      <c r="C12" s="8">
        <f>'Monthly Model'!N81</f>
        <v>1584514.0014733281</v>
      </c>
      <c r="D12" s="8">
        <f>'Monthly Model'!Z81</f>
        <v>10076367.820872705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>
      <c r="A13" s="1" t="s">
        <v>12</v>
      </c>
      <c r="B13" s="7">
        <f>'Monthly Model'!H11</f>
        <v>0</v>
      </c>
      <c r="C13" s="7">
        <f>'Monthly Model'!N11</f>
        <v>0</v>
      </c>
      <c r="D13" s="7">
        <f>'Monthly Model'!Z11</f>
        <v>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>
      <c r="A16" s="5" t="s">
        <v>13</v>
      </c>
      <c r="B16" s="6" t="s">
        <v>14</v>
      </c>
      <c r="C16" s="6" t="s">
        <v>15</v>
      </c>
      <c r="D16" s="6" t="s">
        <v>16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>
      <c r="A17" s="1" t="s">
        <v>17</v>
      </c>
      <c r="B17" s="7">
        <f>SUM('Monthly Model'!C14:N14)</f>
        <v>334.70837040885169</v>
      </c>
      <c r="C17" s="7">
        <f>SUM('Monthly Model'!O14:Z14)</f>
        <v>571.69744707662835</v>
      </c>
      <c r="D17" s="7">
        <f t="shared" ref="D17:D22" si="0">B17+C17</f>
        <v>906.40581748548004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>
      <c r="A18" s="1" t="s">
        <v>18</v>
      </c>
      <c r="B18" s="8">
        <f>SUM('Monthly Model'!C52:N52)</f>
        <v>4870172.0840084581</v>
      </c>
      <c r="C18" s="8">
        <f>SUM('Monthly Model'!O52:Z52)</f>
        <v>13113559.148485225</v>
      </c>
      <c r="D18" s="8">
        <f t="shared" si="0"/>
        <v>17983731.232493684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>
      <c r="A19" s="1" t="s">
        <v>19</v>
      </c>
      <c r="B19" s="8">
        <f>SUM('Monthly Model'!C74:N74)</f>
        <v>3109600.9712603153</v>
      </c>
      <c r="C19" s="8">
        <f>SUM('Monthly Model'!O74:Z74)</f>
        <v>3678166.0158192506</v>
      </c>
      <c r="D19" s="8">
        <f t="shared" si="0"/>
        <v>6787766.9870795663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>
      <c r="A20" s="1" t="s">
        <v>20</v>
      </c>
      <c r="B20" s="8">
        <f>SUM('Monthly Model'!C80:N80)</f>
        <v>1584514.0014733281</v>
      </c>
      <c r="C20" s="8">
        <f>SUM('Monthly Model'!O80:Z80)</f>
        <v>8491853.8193993755</v>
      </c>
      <c r="D20" s="8">
        <f t="shared" si="0"/>
        <v>10076367.820872704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>
      <c r="A21" s="1" t="s">
        <v>21</v>
      </c>
      <c r="B21" s="7">
        <f>SUM('Monthly Model'!C11:N11)</f>
        <v>1.3658399999999999</v>
      </c>
      <c r="C21" s="7">
        <f>SUM('Monthly Model'!O11:Z11)</f>
        <v>0</v>
      </c>
      <c r="D21" s="7">
        <f t="shared" si="0"/>
        <v>1.3658399999999999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>
      <c r="A22" s="1" t="s">
        <v>22</v>
      </c>
      <c r="B22" s="7">
        <f>SUM('Monthly Model'!C43:N43)</f>
        <v>0.10038923999999998</v>
      </c>
      <c r="C22" s="7">
        <f>SUM('Monthly Model'!O43:Z43)</f>
        <v>0</v>
      </c>
      <c r="D22" s="7">
        <f t="shared" si="0"/>
        <v>0.10038923999999998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>
      <c r="A23" s="9" t="s">
        <v>23</v>
      </c>
      <c r="B23" s="1"/>
      <c r="C23" s="1"/>
      <c r="D23" s="1"/>
      <c r="E23" s="1"/>
      <c r="F23" s="9" t="s">
        <v>24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>
      <c r="A24" s="10" t="s">
        <v>25</v>
      </c>
      <c r="B24" s="10" t="s">
        <v>18</v>
      </c>
      <c r="C24" s="10" t="s">
        <v>19</v>
      </c>
      <c r="D24" s="10" t="s">
        <v>20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>
      <c r="A25" s="11" t="s">
        <v>26</v>
      </c>
      <c r="B25" s="12">
        <f>'Monthly Model'!C52</f>
        <v>55186.36363636364</v>
      </c>
      <c r="C25" s="12">
        <f>'Monthly Model'!C74</f>
        <v>237720.66495248</v>
      </c>
      <c r="D25" s="12">
        <f>'Monthly Model'!C80</f>
        <v>-182534.30131611635</v>
      </c>
      <c r="E25" s="1"/>
      <c r="F25" s="13" t="s">
        <v>428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>
      <c r="A26" s="11" t="s">
        <v>27</v>
      </c>
      <c r="B26" s="12">
        <f>'Monthly Model'!D52</f>
        <v>189724.7028681818</v>
      </c>
      <c r="C26" s="12">
        <f>'Monthly Model'!D74</f>
        <v>243534.35837458831</v>
      </c>
      <c r="D26" s="12">
        <f>'Monthly Model'!D80</f>
        <v>-53809.655506406503</v>
      </c>
      <c r="E26" s="1"/>
      <c r="F26" s="13" t="s">
        <v>429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>
      <c r="A27" s="11" t="s">
        <v>28</v>
      </c>
      <c r="B27" s="12">
        <f>'Monthly Model'!E52</f>
        <v>239782.03725910914</v>
      </c>
      <c r="C27" s="12">
        <f>'Monthly Model'!E74</f>
        <v>247212.83628392601</v>
      </c>
      <c r="D27" s="12">
        <f>'Monthly Model'!E80</f>
        <v>-7430.7990248168644</v>
      </c>
      <c r="E27" s="1"/>
      <c r="F27" s="13" t="s">
        <v>29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>
      <c r="A28" s="11" t="s">
        <v>30</v>
      </c>
      <c r="B28" s="12">
        <f>'Monthly Model'!F52</f>
        <v>288414.8619391637</v>
      </c>
      <c r="C28" s="12">
        <f>'Monthly Model'!F74</f>
        <v>250729.11666017468</v>
      </c>
      <c r="D28" s="12">
        <f>'Monthly Model'!F80</f>
        <v>37685.745278989023</v>
      </c>
      <c r="E28" s="1"/>
      <c r="F28" s="13" t="s">
        <v>31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>
      <c r="A29" s="11" t="s">
        <v>32</v>
      </c>
      <c r="B29" s="12">
        <f>'Monthly Model'!G52</f>
        <v>337035.68068982998</v>
      </c>
      <c r="C29" s="12">
        <f>'Monthly Model'!G74</f>
        <v>254176.87760372862</v>
      </c>
      <c r="D29" s="12">
        <f>'Monthly Model'!G80</f>
        <v>82858.803086101369</v>
      </c>
      <c r="E29" s="1"/>
      <c r="F29" s="13" t="s">
        <v>33</v>
      </c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>
      <c r="A30" s="11" t="s">
        <v>3</v>
      </c>
      <c r="B30" s="12">
        <f>'Monthly Model'!H52</f>
        <v>385898.73553619219</v>
      </c>
      <c r="C30" s="12">
        <f>'Monthly Model'!H74</f>
        <v>257595.13965119337</v>
      </c>
      <c r="D30" s="12">
        <f>'Monthly Model'!H80</f>
        <v>127796.25704472387</v>
      </c>
      <c r="E30" s="1"/>
      <c r="F30" s="14" t="s">
        <v>34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>
      <c r="A31" s="11" t="s">
        <v>35</v>
      </c>
      <c r="B31" s="12">
        <f>'Monthly Model'!I52</f>
        <v>435156.22179291287</v>
      </c>
      <c r="C31" s="12">
        <f>'Monthly Model'!I74</f>
        <v>261011.53764699114</v>
      </c>
      <c r="D31" s="12">
        <f>'Monthly Model'!I80</f>
        <v>156730.21573132955</v>
      </c>
      <c r="E31" s="1"/>
      <c r="F31" s="14" t="s">
        <v>430</v>
      </c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>
      <c r="A32" s="11" t="s">
        <v>36</v>
      </c>
      <c r="B32" s="12">
        <f>'Monthly Model'!J52</f>
        <v>484958.97919575527</v>
      </c>
      <c r="C32" s="12">
        <f>'Monthly Model'!J74</f>
        <v>264448.36844379752</v>
      </c>
      <c r="D32" s="12">
        <f>'Monthly Model'!J80</f>
        <v>198459.54967676196</v>
      </c>
      <c r="E32" s="1"/>
      <c r="F32" s="13" t="s">
        <v>37</v>
      </c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11" t="s">
        <v>38</v>
      </c>
      <c r="B33" s="12">
        <f>'Monthly Model'!K52</f>
        <v>535456.9979046951</v>
      </c>
      <c r="C33" s="12">
        <f>'Monthly Model'!K74</f>
        <v>267924.2110781651</v>
      </c>
      <c r="D33" s="12">
        <f>'Monthly Model'!K80</f>
        <v>240779.508143877</v>
      </c>
      <c r="E33" s="1"/>
      <c r="F33" s="13" t="s">
        <v>39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11" t="s">
        <v>40</v>
      </c>
      <c r="B34" s="12">
        <f>'Monthly Model'!L52</f>
        <v>586799.91308513633</v>
      </c>
      <c r="C34" s="12">
        <f>'Monthly Model'!L74</f>
        <v>271455.07007844397</v>
      </c>
      <c r="D34" s="12">
        <f>'Monthly Model'!L80</f>
        <v>283810.35870602314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11" t="s">
        <v>41</v>
      </c>
      <c r="B35" s="12">
        <f>'Monthly Model'!M52</f>
        <v>639137.4898463462</v>
      </c>
      <c r="C35" s="12">
        <f>'Monthly Model'!M74</f>
        <v>275055.18489680963</v>
      </c>
      <c r="D35" s="12">
        <f>'Monthly Model'!M80</f>
        <v>327674.07445458294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11" t="s">
        <v>4</v>
      </c>
      <c r="B36" s="12">
        <f>'Monthly Model'!N52</f>
        <v>692620.10025477188</v>
      </c>
      <c r="C36" s="12">
        <f>'Monthly Model'!N74</f>
        <v>278737.60559001769</v>
      </c>
      <c r="D36" s="12">
        <f>'Monthly Model'!N80</f>
        <v>372494.2451982788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>
      <c r="A37" s="11" t="s">
        <v>42</v>
      </c>
      <c r="B37" s="12">
        <f>'Monthly Model'!O52</f>
        <v>747399.19408498763</v>
      </c>
      <c r="C37" s="12">
        <f>'Monthly Model'!O74</f>
        <v>282514.60486582451</v>
      </c>
      <c r="D37" s="12">
        <f>'Monthly Model'!O80</f>
        <v>418396.1302972468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>
      <c r="A38" s="11" t="s">
        <v>43</v>
      </c>
      <c r="B38" s="12">
        <f>'Monthly Model'!P52</f>
        <v>803627.76492239581</v>
      </c>
      <c r="C38" s="12">
        <f>'Monthly Model'!P74</f>
        <v>286397.97560610186</v>
      </c>
      <c r="D38" s="12">
        <f>'Monthly Model'!P80</f>
        <v>465506.81038466457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>
      <c r="A39" s="11" t="s">
        <v>44</v>
      </c>
      <c r="B39" s="12">
        <f>'Monthly Model'!Q52</f>
        <v>861460.81318915193</v>
      </c>
      <c r="C39" s="12">
        <f>'Monthly Model'!Q74</f>
        <v>290399.24827309651</v>
      </c>
      <c r="D39" s="12">
        <f>'Monthly Model'!Q80</f>
        <v>513955.40842444985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>
      <c r="A40" s="11" t="s">
        <v>45</v>
      </c>
      <c r="B40" s="12">
        <f>'Monthly Model'!R52</f>
        <v>921055.80762792565</v>
      </c>
      <c r="C40" s="12">
        <f>'Monthly Model'!R74</f>
        <v>294529.85231175023</v>
      </c>
      <c r="D40" s="12">
        <f>'Monthly Model'!R80</f>
        <v>563873.35978455795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>
      <c r="A41" s="11" t="s">
        <v>46</v>
      </c>
      <c r="B41" s="12">
        <f>'Monthly Model'!S52</f>
        <v>982573.1467467614</v>
      </c>
      <c r="C41" s="12">
        <f>'Monthly Model'!S74</f>
        <v>298801.23845527688</v>
      </c>
      <c r="D41" s="12">
        <f>'Monthly Model'!S80</f>
        <v>615394.71746233606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>
      <c r="A42" s="11" t="s">
        <v>47</v>
      </c>
      <c r="B42" s="12">
        <f>'Monthly Model'!T52</f>
        <v>1046176.6217023429</v>
      </c>
      <c r="C42" s="12">
        <f>'Monthly Model'!T74</f>
        <v>303224.9737970499</v>
      </c>
      <c r="D42" s="12">
        <f>'Monthly Model'!T80</f>
        <v>668656.48311476363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>
      <c r="A43" s="11" t="s">
        <v>48</v>
      </c>
      <c r="B43" s="12">
        <f>'Monthly Model'!U52</f>
        <v>1112033.8820781361</v>
      </c>
      <c r="C43" s="12">
        <f>'Monthly Model'!U74</f>
        <v>307812.81796089571</v>
      </c>
      <c r="D43" s="12">
        <f>'Monthly Model'!U80</f>
        <v>723798.95770551637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>
      <c r="A44" s="11" t="s">
        <v>49</v>
      </c>
      <c r="B44" s="12">
        <f>'Monthly Model'!V52</f>
        <v>1180316.9059981157</v>
      </c>
      <c r="C44" s="12">
        <f>'Monthly Model'!V74</f>
        <v>312576.7862302587</v>
      </c>
      <c r="D44" s="12">
        <f>'Monthly Model'!V80</f>
        <v>780966.10779107129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>
      <c r="A45" s="11" t="s">
        <v>50</v>
      </c>
      <c r="B45" s="12">
        <f>'Monthly Model'!W52</f>
        <v>1251202.4760058653</v>
      </c>
      <c r="C45" s="12">
        <f>'Monthly Model'!W74</f>
        <v>317529.20376668783</v>
      </c>
      <c r="D45" s="12">
        <f>'Monthly Model'!W80</f>
        <v>840305.94501525979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>
      <c r="A46" s="11" t="s">
        <v>51</v>
      </c>
      <c r="B46" s="12">
        <f>'Monthly Model'!X52</f>
        <v>1324872.6621327004</v>
      </c>
      <c r="C46" s="12">
        <f>'Monthly Model'!X74</f>
        <v>322682.75383729738</v>
      </c>
      <c r="D46" s="12">
        <f>'Monthly Model'!X80</f>
        <v>901970.9174658627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>
      <c r="A47" s="11" t="s">
        <v>52</v>
      </c>
      <c r="B47" s="12">
        <f>'Monthly Model'!Y52</f>
        <v>1401515.3135769789</v>
      </c>
      <c r="C47" s="12">
        <f>'Monthly Model'!Y74</f>
        <v>328050.52212359942</v>
      </c>
      <c r="D47" s="12">
        <f>'Monthly Model'!Y80</f>
        <v>966118.3123080415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>
      <c r="A48" s="11" t="s">
        <v>5</v>
      </c>
      <c r="B48" s="12">
        <f>'Monthly Model'!Z52</f>
        <v>1481324.5604198622</v>
      </c>
      <c r="C48" s="12">
        <f>'Monthly Model'!Z74</f>
        <v>333646.03859141178</v>
      </c>
      <c r="D48" s="12">
        <f>'Monthly Model'!Z80</f>
        <v>1032910.6696456053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</sheetData>
  <phoneticPr fontId="3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2"/>
  <sheetViews>
    <sheetView showGridLines="0" tabSelected="1" workbookViewId="0">
      <pane ySplit="4" topLeftCell="A5" activePane="bottomLeft" state="frozen"/>
      <selection pane="bottomLeft" activeCell="C8" sqref="C8"/>
    </sheetView>
  </sheetViews>
  <sheetFormatPr baseColWidth="10" defaultColWidth="10.59765625" defaultRowHeight="13"/>
  <cols>
    <col min="1" max="1" width="41.19921875" customWidth="1"/>
    <col min="2" max="2" width="12.19921875" customWidth="1"/>
    <col min="3" max="3" width="15.19921875" customWidth="1"/>
    <col min="4" max="4" width="13.796875" customWidth="1"/>
    <col min="5" max="5" width="11" customWidth="1"/>
    <col min="6" max="6" width="53.796875" customWidth="1"/>
    <col min="7" max="18" width="8.59765625" customWidth="1"/>
    <col min="19" max="26" width="14.3984375" customWidth="1"/>
  </cols>
  <sheetData>
    <row r="1" spans="1:26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>
      <c r="A2" s="2" t="s">
        <v>53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>
      <c r="A3" s="3"/>
      <c r="B3" s="3"/>
      <c r="C3" s="3"/>
      <c r="D3" s="3"/>
      <c r="E3" s="3"/>
      <c r="F3" s="3"/>
      <c r="G3" s="3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>
      <c r="A4" s="5" t="s">
        <v>54</v>
      </c>
      <c r="B4" s="5" t="s">
        <v>55</v>
      </c>
      <c r="C4" s="5" t="s">
        <v>56</v>
      </c>
      <c r="D4" s="5" t="s">
        <v>57</v>
      </c>
      <c r="E4" s="5" t="s">
        <v>58</v>
      </c>
      <c r="F4" s="5" t="s">
        <v>59</v>
      </c>
      <c r="G4" s="1" t="s">
        <v>60</v>
      </c>
      <c r="H4" s="1" t="s">
        <v>61</v>
      </c>
      <c r="I4" s="1" t="s">
        <v>62</v>
      </c>
      <c r="J4" s="1" t="s">
        <v>63</v>
      </c>
      <c r="K4" s="1" t="s">
        <v>64</v>
      </c>
      <c r="L4" s="1" t="s">
        <v>65</v>
      </c>
      <c r="M4" s="1" t="s">
        <v>66</v>
      </c>
      <c r="N4" s="1" t="s">
        <v>67</v>
      </c>
      <c r="O4" s="1" t="s">
        <v>68</v>
      </c>
      <c r="P4" s="1" t="s">
        <v>69</v>
      </c>
      <c r="Q4" s="1" t="s">
        <v>70</v>
      </c>
      <c r="R4" s="1" t="s">
        <v>71</v>
      </c>
      <c r="S4" s="1"/>
      <c r="T4" s="1"/>
      <c r="U4" s="1"/>
      <c r="V4" s="1"/>
      <c r="W4" s="1"/>
      <c r="X4" s="1"/>
      <c r="Y4" s="1"/>
      <c r="Z4" s="1"/>
    </row>
    <row r="5" spans="1:26" ht="16.5" customHeight="1">
      <c r="A5" s="10" t="s">
        <v>72</v>
      </c>
      <c r="B5" s="10"/>
      <c r="C5" s="10"/>
      <c r="D5" s="10"/>
      <c r="E5" s="10"/>
      <c r="F5" s="10"/>
      <c r="G5" s="1" t="s">
        <v>73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>
      <c r="A6" s="11" t="s">
        <v>74</v>
      </c>
      <c r="B6" s="1" t="s">
        <v>75</v>
      </c>
      <c r="C6" s="15">
        <v>24000</v>
      </c>
      <c r="D6" s="1" t="s">
        <v>76</v>
      </c>
      <c r="E6" s="11" t="s">
        <v>77</v>
      </c>
      <c r="F6" s="1" t="s">
        <v>78</v>
      </c>
      <c r="G6" s="16">
        <v>1</v>
      </c>
      <c r="H6" s="16">
        <v>1</v>
      </c>
      <c r="I6" s="16">
        <v>1</v>
      </c>
      <c r="J6" s="16">
        <v>1</v>
      </c>
      <c r="K6" s="16">
        <v>1</v>
      </c>
      <c r="L6" s="16">
        <v>1</v>
      </c>
      <c r="M6" s="16">
        <v>1</v>
      </c>
      <c r="N6" s="16">
        <v>1</v>
      </c>
      <c r="O6" s="16">
        <v>1</v>
      </c>
      <c r="P6" s="16">
        <v>1</v>
      </c>
      <c r="Q6" s="16">
        <v>1</v>
      </c>
      <c r="R6" s="16">
        <v>1</v>
      </c>
      <c r="S6" s="1"/>
      <c r="T6" s="1"/>
      <c r="U6" s="1"/>
      <c r="V6" s="1"/>
      <c r="W6" s="1"/>
      <c r="X6" s="1"/>
      <c r="Y6" s="1"/>
      <c r="Z6" s="1"/>
    </row>
    <row r="7" spans="1:26" ht="16.5" customHeight="1">
      <c r="A7" s="11" t="s">
        <v>79</v>
      </c>
      <c r="B7" s="1" t="s">
        <v>75</v>
      </c>
      <c r="C7" s="15">
        <v>14000</v>
      </c>
      <c r="D7" s="1" t="s">
        <v>76</v>
      </c>
      <c r="E7" s="11" t="s">
        <v>77</v>
      </c>
      <c r="F7" s="1" t="s">
        <v>80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>
      <c r="A8" s="11" t="s">
        <v>81</v>
      </c>
      <c r="B8" s="1" t="s">
        <v>75</v>
      </c>
      <c r="C8" s="15">
        <v>28900</v>
      </c>
      <c r="D8" s="1" t="s">
        <v>76</v>
      </c>
      <c r="E8" s="11" t="s">
        <v>77</v>
      </c>
      <c r="F8" s="1" t="s">
        <v>78</v>
      </c>
      <c r="G8" s="17" t="s">
        <v>82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"/>
      <c r="T8" s="1"/>
      <c r="U8" s="1"/>
      <c r="V8" s="1"/>
      <c r="W8" s="1"/>
      <c r="X8" s="1"/>
      <c r="Y8" s="1"/>
      <c r="Z8" s="1"/>
    </row>
    <row r="9" spans="1:26" ht="16.5" customHeight="1">
      <c r="A9" s="1" t="s">
        <v>431</v>
      </c>
      <c r="B9" s="1" t="s">
        <v>83</v>
      </c>
      <c r="C9" s="18">
        <v>14</v>
      </c>
      <c r="D9" s="1" t="s">
        <v>76</v>
      </c>
      <c r="E9" s="11" t="s">
        <v>77</v>
      </c>
      <c r="F9" s="11" t="s">
        <v>432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>
      <c r="A10" s="1" t="s">
        <v>433</v>
      </c>
      <c r="B10" s="1" t="s">
        <v>84</v>
      </c>
      <c r="C10" s="18">
        <v>200</v>
      </c>
      <c r="D10" s="1" t="s">
        <v>76</v>
      </c>
      <c r="E10" s="11" t="s">
        <v>77</v>
      </c>
      <c r="F10" s="1" t="s">
        <v>434</v>
      </c>
      <c r="G10" s="1" t="s">
        <v>85</v>
      </c>
      <c r="H10" s="19">
        <f>SUM(C33,C34,C35)</f>
        <v>1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>
      <c r="A11" s="11" t="s">
        <v>86</v>
      </c>
      <c r="B11" s="1" t="s">
        <v>87</v>
      </c>
      <c r="C11" s="18">
        <v>2</v>
      </c>
      <c r="D11" s="1" t="s">
        <v>76</v>
      </c>
      <c r="E11" s="11" t="s">
        <v>77</v>
      </c>
      <c r="F11" s="1" t="s">
        <v>88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>
      <c r="A12" s="1" t="s">
        <v>89</v>
      </c>
      <c r="B12" s="1" t="s">
        <v>90</v>
      </c>
      <c r="C12" s="18">
        <v>1</v>
      </c>
      <c r="D12" s="1" t="s">
        <v>76</v>
      </c>
      <c r="E12" s="11" t="s">
        <v>77</v>
      </c>
      <c r="F12" s="1" t="s">
        <v>91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>
      <c r="A13" s="1" t="s">
        <v>92</v>
      </c>
      <c r="B13" s="1" t="s">
        <v>90</v>
      </c>
      <c r="C13" s="18">
        <v>1</v>
      </c>
      <c r="D13" s="1" t="s">
        <v>76</v>
      </c>
      <c r="E13" s="11" t="s">
        <v>77</v>
      </c>
      <c r="F13" s="1" t="s">
        <v>93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10" t="s">
        <v>94</v>
      </c>
      <c r="B14" s="10"/>
      <c r="C14" s="10"/>
      <c r="D14" s="10"/>
      <c r="E14" s="10"/>
      <c r="F14" s="10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>
      <c r="A15" s="1" t="s">
        <v>95</v>
      </c>
      <c r="B15" s="1" t="s">
        <v>96</v>
      </c>
      <c r="C15" s="18">
        <v>25</v>
      </c>
      <c r="D15" s="1" t="s">
        <v>97</v>
      </c>
      <c r="E15" s="11" t="s">
        <v>98</v>
      </c>
      <c r="F15" s="1" t="s">
        <v>99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>
      <c r="A16" s="1" t="s">
        <v>100</v>
      </c>
      <c r="B16" s="11" t="s">
        <v>101</v>
      </c>
      <c r="C16" s="20">
        <v>0.6</v>
      </c>
      <c r="D16" s="1" t="s">
        <v>97</v>
      </c>
      <c r="E16" s="11" t="s">
        <v>98</v>
      </c>
      <c r="F16" s="1" t="s">
        <v>102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>
      <c r="A17" s="1" t="s">
        <v>103</v>
      </c>
      <c r="B17" s="11" t="s">
        <v>101</v>
      </c>
      <c r="C17" s="20">
        <v>0.7</v>
      </c>
      <c r="D17" s="1" t="s">
        <v>97</v>
      </c>
      <c r="E17" s="11" t="s">
        <v>98</v>
      </c>
      <c r="F17" s="1" t="s">
        <v>104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>
      <c r="A18" s="1" t="s">
        <v>105</v>
      </c>
      <c r="B18" s="1" t="s">
        <v>96</v>
      </c>
      <c r="C18" s="18">
        <v>20</v>
      </c>
      <c r="D18" s="1" t="s">
        <v>97</v>
      </c>
      <c r="E18" s="11" t="s">
        <v>98</v>
      </c>
      <c r="F18" s="1" t="s">
        <v>106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>
      <c r="A19" s="1" t="s">
        <v>107</v>
      </c>
      <c r="B19" s="11" t="s">
        <v>101</v>
      </c>
      <c r="C19" s="20">
        <v>0.05</v>
      </c>
      <c r="D19" s="1" t="s">
        <v>97</v>
      </c>
      <c r="E19" s="11" t="s">
        <v>98</v>
      </c>
      <c r="F19" s="1" t="s">
        <v>108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>
      <c r="A20" s="1" t="s">
        <v>435</v>
      </c>
      <c r="B20" s="11" t="s">
        <v>101</v>
      </c>
      <c r="C20" s="20">
        <v>0.6</v>
      </c>
      <c r="D20" s="1" t="s">
        <v>97</v>
      </c>
      <c r="E20" s="11" t="s">
        <v>109</v>
      </c>
      <c r="F20" s="1" t="s">
        <v>436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>
      <c r="A21" s="1" t="s">
        <v>110</v>
      </c>
      <c r="B21" s="11" t="s">
        <v>101</v>
      </c>
      <c r="C21" s="20">
        <v>0.2</v>
      </c>
      <c r="D21" s="1" t="s">
        <v>111</v>
      </c>
      <c r="E21" s="11" t="s">
        <v>112</v>
      </c>
      <c r="F21" s="1" t="s">
        <v>113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>
      <c r="A22" s="1" t="s">
        <v>114</v>
      </c>
      <c r="B22" s="11" t="s">
        <v>101</v>
      </c>
      <c r="C22" s="20">
        <v>0.3</v>
      </c>
      <c r="D22" s="1" t="s">
        <v>111</v>
      </c>
      <c r="E22" s="11" t="s">
        <v>112</v>
      </c>
      <c r="F22" s="1" t="s">
        <v>115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>
      <c r="A23" s="1" t="s">
        <v>116</v>
      </c>
      <c r="B23" s="11" t="s">
        <v>101</v>
      </c>
      <c r="C23" s="20">
        <v>0.7</v>
      </c>
      <c r="D23" s="1" t="s">
        <v>97</v>
      </c>
      <c r="E23" s="11" t="s">
        <v>98</v>
      </c>
      <c r="F23" s="1" t="s">
        <v>117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>
      <c r="A24" s="1" t="s">
        <v>437</v>
      </c>
      <c r="B24" s="11" t="s">
        <v>101</v>
      </c>
      <c r="C24" s="20">
        <v>0.25</v>
      </c>
      <c r="D24" s="1" t="s">
        <v>97</v>
      </c>
      <c r="E24" s="11" t="s">
        <v>109</v>
      </c>
      <c r="F24" s="1" t="s">
        <v>438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>
      <c r="A25" s="1" t="s">
        <v>118</v>
      </c>
      <c r="B25" s="11" t="s">
        <v>101</v>
      </c>
      <c r="C25" s="20">
        <v>0.25</v>
      </c>
      <c r="D25" s="1" t="s">
        <v>97</v>
      </c>
      <c r="E25" s="11" t="s">
        <v>109</v>
      </c>
      <c r="F25" s="1" t="s">
        <v>119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>
      <c r="A26" s="1" t="s">
        <v>120</v>
      </c>
      <c r="B26" s="11" t="s">
        <v>101</v>
      </c>
      <c r="C26" s="20">
        <v>0.4</v>
      </c>
      <c r="D26" s="1" t="s">
        <v>97</v>
      </c>
      <c r="E26" s="11" t="s">
        <v>98</v>
      </c>
      <c r="F26" s="1" t="s">
        <v>121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>
      <c r="A27" s="10" t="s">
        <v>122</v>
      </c>
      <c r="B27" s="10"/>
      <c r="C27" s="10"/>
      <c r="D27" s="10"/>
      <c r="E27" s="10"/>
      <c r="F27" s="10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>
      <c r="A28" s="11" t="s">
        <v>123</v>
      </c>
      <c r="B28" s="11" t="s">
        <v>101</v>
      </c>
      <c r="C28" s="20">
        <v>6.4000000000000001E-2</v>
      </c>
      <c r="D28" s="1" t="s">
        <v>124</v>
      </c>
      <c r="E28" s="11" t="s">
        <v>125</v>
      </c>
      <c r="F28" s="1" t="s">
        <v>126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>
      <c r="A29" s="1" t="s">
        <v>127</v>
      </c>
      <c r="B29" s="11" t="s">
        <v>101</v>
      </c>
      <c r="C29" s="20">
        <v>6.4000000000000001E-2</v>
      </c>
      <c r="D29" s="1" t="s">
        <v>124</v>
      </c>
      <c r="E29" s="11" t="s">
        <v>125</v>
      </c>
      <c r="F29" s="1" t="s">
        <v>128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>
      <c r="A30" s="11" t="s">
        <v>129</v>
      </c>
      <c r="B30" s="11" t="s">
        <v>101</v>
      </c>
      <c r="C30" s="20">
        <v>6.4000000000000001E-2</v>
      </c>
      <c r="D30" s="1" t="s">
        <v>124</v>
      </c>
      <c r="E30" s="11" t="s">
        <v>125</v>
      </c>
      <c r="F30" s="1" t="s">
        <v>130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>
      <c r="A31" s="11" t="s">
        <v>131</v>
      </c>
      <c r="B31" s="11" t="s">
        <v>101</v>
      </c>
      <c r="C31" s="20">
        <v>0.3</v>
      </c>
      <c r="D31" s="1" t="s">
        <v>97</v>
      </c>
      <c r="E31" s="11" t="s">
        <v>98</v>
      </c>
      <c r="F31" s="11" t="s">
        <v>132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>
      <c r="A32" s="1" t="s">
        <v>133</v>
      </c>
      <c r="B32" s="11" t="s">
        <v>101</v>
      </c>
      <c r="C32" s="20">
        <v>0.3</v>
      </c>
      <c r="D32" s="1" t="s">
        <v>97</v>
      </c>
      <c r="E32" s="11" t="s">
        <v>98</v>
      </c>
      <c r="F32" s="1" t="s">
        <v>134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1" t="s">
        <v>135</v>
      </c>
      <c r="B33" s="11" t="s">
        <v>101</v>
      </c>
      <c r="C33" s="20">
        <v>0.4</v>
      </c>
      <c r="D33" s="1" t="s">
        <v>97</v>
      </c>
      <c r="E33" s="11" t="s">
        <v>98</v>
      </c>
      <c r="F33" s="1" t="s">
        <v>136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1" t="s">
        <v>137</v>
      </c>
      <c r="B34" s="11" t="s">
        <v>101</v>
      </c>
      <c r="C34" s="20">
        <v>0.45</v>
      </c>
      <c r="D34" s="1" t="s">
        <v>97</v>
      </c>
      <c r="E34" s="11" t="s">
        <v>98</v>
      </c>
      <c r="F34" s="1" t="s">
        <v>138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1" t="s">
        <v>139</v>
      </c>
      <c r="B35" s="11" t="s">
        <v>101</v>
      </c>
      <c r="C35" s="20">
        <v>0.15</v>
      </c>
      <c r="D35" s="1" t="s">
        <v>97</v>
      </c>
      <c r="E35" s="11" t="s">
        <v>98</v>
      </c>
      <c r="F35" s="1" t="s">
        <v>140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1" t="s">
        <v>141</v>
      </c>
      <c r="B36" s="11" t="s">
        <v>101</v>
      </c>
      <c r="C36" s="20">
        <v>0.7</v>
      </c>
      <c r="D36" s="1" t="s">
        <v>97</v>
      </c>
      <c r="E36" s="11" t="s">
        <v>98</v>
      </c>
      <c r="F36" s="1" t="s">
        <v>142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>
      <c r="A37" s="10" t="s">
        <v>143</v>
      </c>
      <c r="B37" s="10"/>
      <c r="C37" s="10"/>
      <c r="D37" s="10"/>
      <c r="E37" s="10"/>
      <c r="F37" s="10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>
      <c r="A38" s="11" t="s">
        <v>144</v>
      </c>
      <c r="B38" s="1" t="s">
        <v>84</v>
      </c>
      <c r="C38" s="18">
        <v>200</v>
      </c>
      <c r="D38" s="1" t="s">
        <v>97</v>
      </c>
      <c r="E38" s="11" t="s">
        <v>98</v>
      </c>
      <c r="F38" s="1" t="s">
        <v>439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>
      <c r="A39" s="1" t="s">
        <v>145</v>
      </c>
      <c r="B39" s="1" t="s">
        <v>84</v>
      </c>
      <c r="C39" s="18">
        <v>200</v>
      </c>
      <c r="D39" s="1" t="s">
        <v>97</v>
      </c>
      <c r="E39" s="11" t="s">
        <v>98</v>
      </c>
      <c r="F39" s="1" t="s">
        <v>440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>
      <c r="A40" s="11" t="s">
        <v>146</v>
      </c>
      <c r="B40" s="1" t="s">
        <v>84</v>
      </c>
      <c r="C40" s="18">
        <v>400</v>
      </c>
      <c r="D40" s="1" t="s">
        <v>97</v>
      </c>
      <c r="E40" s="11" t="s">
        <v>98</v>
      </c>
      <c r="F40" s="1" t="s">
        <v>441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>
      <c r="A41" s="1" t="s">
        <v>442</v>
      </c>
      <c r="B41" s="1" t="s">
        <v>84</v>
      </c>
      <c r="C41" s="18">
        <v>80</v>
      </c>
      <c r="D41" s="1" t="s">
        <v>97</v>
      </c>
      <c r="E41" s="11" t="s">
        <v>98</v>
      </c>
      <c r="F41" s="11" t="s">
        <v>443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>
      <c r="A42" s="1" t="s">
        <v>147</v>
      </c>
      <c r="B42" s="1" t="s">
        <v>84</v>
      </c>
      <c r="C42" s="18">
        <v>200</v>
      </c>
      <c r="D42" s="1" t="s">
        <v>97</v>
      </c>
      <c r="E42" s="11" t="s">
        <v>98</v>
      </c>
      <c r="F42" s="1" t="s">
        <v>444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>
      <c r="A43" s="11" t="s">
        <v>148</v>
      </c>
      <c r="B43" s="1" t="s">
        <v>84</v>
      </c>
      <c r="C43" s="18">
        <v>60</v>
      </c>
      <c r="D43" s="1" t="s">
        <v>97</v>
      </c>
      <c r="E43" s="11" t="s">
        <v>98</v>
      </c>
      <c r="F43" s="1" t="s">
        <v>149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>
      <c r="A44" s="1" t="s">
        <v>150</v>
      </c>
      <c r="B44" s="11" t="s">
        <v>101</v>
      </c>
      <c r="C44" s="20">
        <v>1</v>
      </c>
      <c r="D44" s="1" t="s">
        <v>97</v>
      </c>
      <c r="E44" s="11" t="s">
        <v>98</v>
      </c>
      <c r="F44" s="1" t="s">
        <v>151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>
      <c r="A45" s="1" t="s">
        <v>152</v>
      </c>
      <c r="B45" s="1" t="s">
        <v>153</v>
      </c>
      <c r="C45" s="18">
        <v>500</v>
      </c>
      <c r="D45" s="1" t="s">
        <v>97</v>
      </c>
      <c r="E45" s="11" t="s">
        <v>98</v>
      </c>
      <c r="F45" s="1" t="s">
        <v>154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>
      <c r="A46" s="1" t="s">
        <v>155</v>
      </c>
      <c r="B46" s="1" t="s">
        <v>153</v>
      </c>
      <c r="C46" s="18">
        <v>100</v>
      </c>
      <c r="D46" s="1" t="s">
        <v>97</v>
      </c>
      <c r="E46" s="11" t="s">
        <v>98</v>
      </c>
      <c r="F46" s="1" t="s">
        <v>156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>
      <c r="A47" s="1" t="s">
        <v>157</v>
      </c>
      <c r="B47" s="1" t="s">
        <v>158</v>
      </c>
      <c r="C47" s="18">
        <v>1.2</v>
      </c>
      <c r="D47" s="1" t="s">
        <v>97</v>
      </c>
      <c r="E47" s="11" t="s">
        <v>98</v>
      </c>
      <c r="F47" s="1" t="s">
        <v>159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>
      <c r="A48" s="11" t="s">
        <v>160</v>
      </c>
      <c r="B48" s="11" t="s">
        <v>101</v>
      </c>
      <c r="C48" s="20">
        <v>0.5</v>
      </c>
      <c r="D48" s="1" t="s">
        <v>97</v>
      </c>
      <c r="E48" s="11" t="s">
        <v>98</v>
      </c>
      <c r="F48" s="1" t="s">
        <v>161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>
      <c r="A49" s="11" t="s">
        <v>162</v>
      </c>
      <c r="B49" s="11" t="s">
        <v>163</v>
      </c>
      <c r="C49" s="21">
        <v>0.1</v>
      </c>
      <c r="D49" s="1" t="s">
        <v>164</v>
      </c>
      <c r="E49" s="11" t="s">
        <v>165</v>
      </c>
      <c r="F49" s="11" t="s">
        <v>166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>
      <c r="A50" s="11" t="s">
        <v>167</v>
      </c>
      <c r="B50" s="11" t="s">
        <v>163</v>
      </c>
      <c r="C50" s="21">
        <v>0.4</v>
      </c>
      <c r="D50" s="1" t="s">
        <v>164</v>
      </c>
      <c r="E50" s="11" t="s">
        <v>165</v>
      </c>
      <c r="F50" s="11" t="s">
        <v>166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11" t="s">
        <v>168</v>
      </c>
      <c r="B51" s="11" t="s">
        <v>163</v>
      </c>
      <c r="C51" s="21">
        <v>1.5</v>
      </c>
      <c r="D51" s="1" t="s">
        <v>169</v>
      </c>
      <c r="E51" s="11" t="s">
        <v>170</v>
      </c>
      <c r="F51" s="11" t="s">
        <v>171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>
      <c r="A52" s="11" t="s">
        <v>172</v>
      </c>
      <c r="B52" s="11" t="s">
        <v>163</v>
      </c>
      <c r="C52" s="21">
        <v>7.5</v>
      </c>
      <c r="D52" s="1" t="s">
        <v>169</v>
      </c>
      <c r="E52" s="11" t="s">
        <v>170</v>
      </c>
      <c r="F52" s="11" t="s">
        <v>171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A53" s="11" t="s">
        <v>173</v>
      </c>
      <c r="B53" s="11" t="s">
        <v>101</v>
      </c>
      <c r="C53" s="20">
        <v>5.5E-2</v>
      </c>
      <c r="D53" s="1" t="s">
        <v>164</v>
      </c>
      <c r="E53" s="11" t="s">
        <v>174</v>
      </c>
      <c r="F53" s="1" t="s">
        <v>175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>
      <c r="A54" s="11" t="s">
        <v>176</v>
      </c>
      <c r="B54" s="1" t="s">
        <v>75</v>
      </c>
      <c r="C54" s="15">
        <v>1400</v>
      </c>
      <c r="D54" s="1" t="s">
        <v>97</v>
      </c>
      <c r="E54" s="11" t="s">
        <v>98</v>
      </c>
      <c r="F54" s="1" t="s">
        <v>177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>
      <c r="A55" s="1" t="s">
        <v>178</v>
      </c>
      <c r="B55" s="11" t="s">
        <v>101</v>
      </c>
      <c r="C55" s="20">
        <v>0</v>
      </c>
      <c r="D55" s="1" t="s">
        <v>97</v>
      </c>
      <c r="E55" s="11" t="s">
        <v>98</v>
      </c>
      <c r="F55" s="1" t="s">
        <v>179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>
      <c r="A56" s="1" t="s">
        <v>180</v>
      </c>
      <c r="B56" s="1" t="s">
        <v>75</v>
      </c>
      <c r="C56" s="15">
        <v>0</v>
      </c>
      <c r="D56" s="1" t="s">
        <v>181</v>
      </c>
      <c r="E56" s="11" t="s">
        <v>98</v>
      </c>
      <c r="F56" s="1" t="s">
        <v>182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>
      <c r="A57" s="10" t="s">
        <v>183</v>
      </c>
      <c r="B57" s="10"/>
      <c r="C57" s="10"/>
      <c r="D57" s="10"/>
      <c r="E57" s="10"/>
      <c r="F57" s="10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>
      <c r="A58" s="11" t="s">
        <v>184</v>
      </c>
      <c r="B58" s="11" t="s">
        <v>163</v>
      </c>
      <c r="C58" s="18">
        <v>20</v>
      </c>
      <c r="D58" s="1" t="s">
        <v>164</v>
      </c>
      <c r="E58" s="11" t="s">
        <v>185</v>
      </c>
      <c r="F58" s="1" t="s">
        <v>186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>
      <c r="A59" s="11" t="s">
        <v>187</v>
      </c>
      <c r="B59" s="11" t="s">
        <v>163</v>
      </c>
      <c r="C59" s="18">
        <v>0</v>
      </c>
      <c r="D59" s="1" t="s">
        <v>181</v>
      </c>
      <c r="E59" s="11" t="s">
        <v>185</v>
      </c>
      <c r="F59" s="1" t="s">
        <v>188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>
      <c r="A60" s="11" t="s">
        <v>189</v>
      </c>
      <c r="B60" s="11" t="s">
        <v>163</v>
      </c>
      <c r="C60" s="18">
        <v>25</v>
      </c>
      <c r="D60" s="1" t="s">
        <v>164</v>
      </c>
      <c r="E60" s="11" t="s">
        <v>190</v>
      </c>
      <c r="F60" s="1" t="s">
        <v>191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>
      <c r="A61" s="11" t="s">
        <v>192</v>
      </c>
      <c r="B61" s="11" t="s">
        <v>163</v>
      </c>
      <c r="C61" s="22">
        <v>3.2499999999999999E-3</v>
      </c>
      <c r="D61" s="1" t="s">
        <v>164</v>
      </c>
      <c r="E61" s="11" t="s">
        <v>190</v>
      </c>
      <c r="F61" s="1" t="s">
        <v>193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>
      <c r="A62" s="11" t="s">
        <v>194</v>
      </c>
      <c r="B62" s="11" t="s">
        <v>163</v>
      </c>
      <c r="C62" s="18">
        <v>0</v>
      </c>
      <c r="D62" s="1" t="s">
        <v>181</v>
      </c>
      <c r="E62" s="11" t="s">
        <v>190</v>
      </c>
      <c r="F62" s="1" t="s">
        <v>195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>
      <c r="A63" s="1" t="s">
        <v>196</v>
      </c>
      <c r="B63" s="11" t="s">
        <v>101</v>
      </c>
      <c r="C63" s="20">
        <v>3.4000000000000002E-2</v>
      </c>
      <c r="D63" s="1" t="s">
        <v>197</v>
      </c>
      <c r="E63" s="11" t="s">
        <v>198</v>
      </c>
      <c r="F63" s="1" t="s">
        <v>199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>
      <c r="A64" s="11" t="s">
        <v>200</v>
      </c>
      <c r="B64" s="1" t="s">
        <v>75</v>
      </c>
      <c r="C64" s="15">
        <v>0</v>
      </c>
      <c r="D64" s="1" t="s">
        <v>197</v>
      </c>
      <c r="E64" s="11" t="s">
        <v>198</v>
      </c>
      <c r="F64" s="1" t="s">
        <v>201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>
      <c r="A65" s="11" t="s">
        <v>202</v>
      </c>
      <c r="B65" s="1" t="s">
        <v>75</v>
      </c>
      <c r="C65" s="15">
        <v>0</v>
      </c>
      <c r="D65" s="1" t="s">
        <v>197</v>
      </c>
      <c r="E65" s="11" t="s">
        <v>198</v>
      </c>
      <c r="F65" s="11" t="s">
        <v>203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>
      <c r="A66" s="1" t="s">
        <v>204</v>
      </c>
      <c r="B66" s="1" t="s">
        <v>75</v>
      </c>
      <c r="C66" s="15">
        <v>100</v>
      </c>
      <c r="D66" s="1" t="s">
        <v>97</v>
      </c>
      <c r="E66" s="11" t="s">
        <v>98</v>
      </c>
      <c r="F66" s="1" t="s">
        <v>205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>
      <c r="A67" s="1" t="s">
        <v>206</v>
      </c>
      <c r="B67" s="1" t="s">
        <v>75</v>
      </c>
      <c r="C67" s="15">
        <v>0</v>
      </c>
      <c r="D67" s="1" t="s">
        <v>97</v>
      </c>
      <c r="E67" s="11" t="s">
        <v>98</v>
      </c>
      <c r="F67" s="1" t="s">
        <v>207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>
      <c r="A68" s="1" t="s">
        <v>208</v>
      </c>
      <c r="B68" s="1" t="s">
        <v>75</v>
      </c>
      <c r="C68" s="15">
        <v>0</v>
      </c>
      <c r="D68" s="1" t="s">
        <v>97</v>
      </c>
      <c r="E68" s="11" t="s">
        <v>98</v>
      </c>
      <c r="F68" s="1" t="s">
        <v>209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>
      <c r="A69" s="1" t="s">
        <v>210</v>
      </c>
      <c r="B69" s="1" t="s">
        <v>75</v>
      </c>
      <c r="C69" s="15">
        <v>200000</v>
      </c>
      <c r="D69" s="1" t="s">
        <v>97</v>
      </c>
      <c r="E69" s="11" t="s">
        <v>98</v>
      </c>
      <c r="F69" s="1" t="s">
        <v>211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>
      <c r="A70" s="1" t="s">
        <v>212</v>
      </c>
      <c r="B70" s="11" t="s">
        <v>101</v>
      </c>
      <c r="C70" s="20">
        <v>0.1</v>
      </c>
      <c r="D70" s="1" t="s">
        <v>213</v>
      </c>
      <c r="E70" s="11" t="s">
        <v>214</v>
      </c>
      <c r="F70" s="1" t="s">
        <v>215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>
      <c r="A71" s="1" t="s">
        <v>216</v>
      </c>
      <c r="B71" s="11" t="s">
        <v>101</v>
      </c>
      <c r="C71" s="20">
        <v>0.1</v>
      </c>
      <c r="D71" s="1" t="s">
        <v>217</v>
      </c>
      <c r="E71" s="11" t="s">
        <v>218</v>
      </c>
      <c r="F71" s="11" t="s">
        <v>219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>
      <c r="A73" s="23" t="s">
        <v>220</v>
      </c>
      <c r="B73" s="23"/>
      <c r="C73" s="23"/>
      <c r="D73" s="23"/>
      <c r="E73" s="23"/>
      <c r="F73" s="2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>
      <c r="A74" s="1" t="s">
        <v>221</v>
      </c>
      <c r="B74" s="1" t="s">
        <v>90</v>
      </c>
      <c r="C74" s="42">
        <v>2</v>
      </c>
      <c r="D74" s="1" t="s">
        <v>222</v>
      </c>
      <c r="E74" s="11" t="s">
        <v>77</v>
      </c>
      <c r="F74" s="24" t="s">
        <v>223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>
      <c r="A75" s="11" t="s">
        <v>224</v>
      </c>
      <c r="B75" s="11" t="s">
        <v>225</v>
      </c>
      <c r="C75" s="42">
        <v>0</v>
      </c>
      <c r="D75" s="1" t="s">
        <v>226</v>
      </c>
      <c r="E75" s="11" t="s">
        <v>185</v>
      </c>
      <c r="F75" s="25" t="s">
        <v>227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>
      <c r="A76" s="1" t="s">
        <v>228</v>
      </c>
      <c r="B76" s="11" t="s">
        <v>101</v>
      </c>
      <c r="C76" s="43">
        <v>0.05</v>
      </c>
      <c r="D76" s="1" t="s">
        <v>97</v>
      </c>
      <c r="E76" s="11" t="s">
        <v>98</v>
      </c>
      <c r="F76" s="25" t="s">
        <v>229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>
      <c r="A77" s="1" t="s">
        <v>230</v>
      </c>
      <c r="B77" s="1" t="s">
        <v>231</v>
      </c>
      <c r="C77" s="42">
        <v>8</v>
      </c>
      <c r="D77" s="1" t="s">
        <v>97</v>
      </c>
      <c r="E77" s="11" t="s">
        <v>98</v>
      </c>
      <c r="F77" s="25" t="s">
        <v>232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>
      <c r="A78" s="1" t="s">
        <v>233</v>
      </c>
      <c r="B78" s="11" t="s">
        <v>234</v>
      </c>
      <c r="C78" s="42">
        <v>2</v>
      </c>
      <c r="D78" s="1" t="s">
        <v>97</v>
      </c>
      <c r="E78" s="11" t="s">
        <v>98</v>
      </c>
      <c r="F78" s="25" t="s">
        <v>235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>
      <c r="A79" s="11" t="s">
        <v>236</v>
      </c>
      <c r="B79" s="11" t="s">
        <v>237</v>
      </c>
      <c r="C79" s="42">
        <v>1024</v>
      </c>
      <c r="D79" s="1" t="s">
        <v>164</v>
      </c>
      <c r="E79" s="11" t="s">
        <v>185</v>
      </c>
      <c r="F79" s="24" t="s">
        <v>238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>
      <c r="A80" s="11" t="s">
        <v>239</v>
      </c>
      <c r="B80" s="1" t="s">
        <v>231</v>
      </c>
      <c r="C80" s="42">
        <v>10000000</v>
      </c>
      <c r="D80" s="1" t="s">
        <v>164</v>
      </c>
      <c r="E80" s="11" t="s">
        <v>185</v>
      </c>
      <c r="F80" s="25" t="s">
        <v>240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>
      <c r="A81" s="11" t="s">
        <v>241</v>
      </c>
      <c r="B81" s="11" t="s">
        <v>242</v>
      </c>
      <c r="C81" s="44">
        <v>0.35</v>
      </c>
      <c r="D81" s="1" t="s">
        <v>164</v>
      </c>
      <c r="E81" s="11" t="s">
        <v>185</v>
      </c>
      <c r="F81" s="25" t="s">
        <v>243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>
      <c r="A82" s="11" t="s">
        <v>244</v>
      </c>
      <c r="B82" s="11" t="s">
        <v>245</v>
      </c>
      <c r="C82" s="44">
        <v>3.2</v>
      </c>
      <c r="D82" s="1" t="s">
        <v>164</v>
      </c>
      <c r="E82" s="11" t="s">
        <v>185</v>
      </c>
      <c r="F82" s="25" t="s">
        <v>243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>
      <c r="A83" s="11" t="s">
        <v>246</v>
      </c>
      <c r="B83" s="11" t="s">
        <v>237</v>
      </c>
      <c r="C83" s="42">
        <v>100</v>
      </c>
      <c r="D83" s="1" t="s">
        <v>164</v>
      </c>
      <c r="E83" s="11" t="s">
        <v>185</v>
      </c>
      <c r="F83" s="25" t="s">
        <v>247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>
      <c r="A84" s="11" t="s">
        <v>248</v>
      </c>
      <c r="B84" s="1" t="s">
        <v>231</v>
      </c>
      <c r="C84" s="42">
        <v>1000000</v>
      </c>
      <c r="D84" s="1" t="s">
        <v>164</v>
      </c>
      <c r="E84" s="11" t="s">
        <v>185</v>
      </c>
      <c r="F84" s="25" t="s">
        <v>247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>
      <c r="A85" s="11" t="s">
        <v>249</v>
      </c>
      <c r="B85" s="1" t="s">
        <v>96</v>
      </c>
      <c r="C85" s="42">
        <v>50000</v>
      </c>
      <c r="D85" s="1" t="s">
        <v>164</v>
      </c>
      <c r="E85" s="11" t="s">
        <v>190</v>
      </c>
      <c r="F85" s="25" t="s">
        <v>250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>
      <c r="A86" s="11" t="s">
        <v>251</v>
      </c>
      <c r="B86" s="11" t="s">
        <v>237</v>
      </c>
      <c r="C86" s="46">
        <v>0.5</v>
      </c>
      <c r="D86" s="1" t="s">
        <v>164</v>
      </c>
      <c r="E86" s="11" t="s">
        <v>190</v>
      </c>
      <c r="F86" s="24" t="s">
        <v>252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>
      <c r="A87" s="11" t="s">
        <v>253</v>
      </c>
      <c r="B87" s="11" t="s">
        <v>237</v>
      </c>
      <c r="C87" s="42">
        <v>5</v>
      </c>
      <c r="D87" s="1" t="s">
        <v>164</v>
      </c>
      <c r="E87" s="11" t="s">
        <v>190</v>
      </c>
      <c r="F87" s="25" t="s">
        <v>254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>
      <c r="A88" s="11" t="s">
        <v>255</v>
      </c>
      <c r="B88" s="11" t="s">
        <v>237</v>
      </c>
      <c r="C88" s="42">
        <v>1</v>
      </c>
      <c r="D88" s="1" t="s">
        <v>164</v>
      </c>
      <c r="E88" s="11" t="s">
        <v>190</v>
      </c>
      <c r="F88" s="24" t="s">
        <v>256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>
      <c r="A89" s="11" t="s">
        <v>257</v>
      </c>
      <c r="B89" s="1" t="s">
        <v>96</v>
      </c>
      <c r="C89" s="42">
        <v>100000</v>
      </c>
      <c r="D89" s="1" t="s">
        <v>164</v>
      </c>
      <c r="E89" s="11" t="s">
        <v>190</v>
      </c>
      <c r="F89" s="25" t="s">
        <v>258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>
      <c r="A90" s="11" t="s">
        <v>259</v>
      </c>
      <c r="B90" s="11" t="s">
        <v>237</v>
      </c>
      <c r="C90" s="42">
        <v>8</v>
      </c>
      <c r="D90" s="1" t="s">
        <v>164</v>
      </c>
      <c r="E90" s="11" t="s">
        <v>190</v>
      </c>
      <c r="F90" s="24" t="s">
        <v>260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>
      <c r="A91" s="11" t="s">
        <v>261</v>
      </c>
      <c r="B91" s="11" t="s">
        <v>237</v>
      </c>
      <c r="C91" s="42">
        <v>250</v>
      </c>
      <c r="D91" s="1" t="s">
        <v>164</v>
      </c>
      <c r="E91" s="11" t="s">
        <v>190</v>
      </c>
      <c r="F91" s="25" t="s">
        <v>254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>
      <c r="A92" s="11" t="s">
        <v>262</v>
      </c>
      <c r="B92" s="11" t="s">
        <v>237</v>
      </c>
      <c r="C92" s="42">
        <v>100</v>
      </c>
      <c r="D92" s="1" t="s">
        <v>164</v>
      </c>
      <c r="E92" s="11" t="s">
        <v>190</v>
      </c>
      <c r="F92" s="24" t="s">
        <v>256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>
      <c r="A93" s="1" t="s">
        <v>263</v>
      </c>
      <c r="B93" s="11" t="s">
        <v>234</v>
      </c>
      <c r="C93" s="44">
        <v>0.1</v>
      </c>
      <c r="D93" s="1" t="s">
        <v>97</v>
      </c>
      <c r="E93" s="11" t="s">
        <v>98</v>
      </c>
      <c r="F93" s="25" t="s">
        <v>264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>
      <c r="A94" s="1" t="s">
        <v>265</v>
      </c>
      <c r="B94" s="11" t="s">
        <v>237</v>
      </c>
      <c r="C94" s="44">
        <v>0.01</v>
      </c>
      <c r="D94" s="1" t="s">
        <v>97</v>
      </c>
      <c r="E94" s="11" t="s">
        <v>98</v>
      </c>
      <c r="F94" s="24" t="s">
        <v>266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>
      <c r="A95" s="1" t="s">
        <v>267</v>
      </c>
      <c r="B95" s="11" t="s">
        <v>237</v>
      </c>
      <c r="C95" s="44">
        <v>1E-3</v>
      </c>
      <c r="D95" s="1" t="s">
        <v>97</v>
      </c>
      <c r="E95" s="11" t="s">
        <v>98</v>
      </c>
      <c r="F95" s="25" t="s">
        <v>268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">
      <c r="A96" s="26" t="s">
        <v>269</v>
      </c>
      <c r="B96" s="26" t="s">
        <v>242</v>
      </c>
      <c r="C96" s="45">
        <v>0.125</v>
      </c>
      <c r="D96" t="s">
        <v>164</v>
      </c>
      <c r="E96" s="26" t="s">
        <v>190</v>
      </c>
      <c r="F96" s="27" t="s">
        <v>270</v>
      </c>
    </row>
    <row r="97" spans="1:6" ht="16">
      <c r="A97" s="26" t="s">
        <v>271</v>
      </c>
      <c r="B97" s="26" t="s">
        <v>242</v>
      </c>
      <c r="C97" s="45">
        <v>0.09</v>
      </c>
      <c r="D97" t="s">
        <v>164</v>
      </c>
      <c r="E97" s="26" t="s">
        <v>190</v>
      </c>
      <c r="F97" s="27" t="s">
        <v>272</v>
      </c>
    </row>
    <row r="98" spans="1:6" ht="16">
      <c r="A98" s="26" t="s">
        <v>273</v>
      </c>
      <c r="B98" s="26" t="s">
        <v>242</v>
      </c>
      <c r="C98" s="45">
        <v>2.1299999999999999E-2</v>
      </c>
      <c r="D98" t="s">
        <v>164</v>
      </c>
      <c r="E98" s="26" t="s">
        <v>190</v>
      </c>
      <c r="F98" s="27" t="s">
        <v>274</v>
      </c>
    </row>
    <row r="99" spans="1:6">
      <c r="A99" s="47" t="s">
        <v>445</v>
      </c>
      <c r="B99" s="47"/>
      <c r="C99" s="47"/>
      <c r="D99" s="47"/>
      <c r="E99" s="47"/>
      <c r="F99" s="47"/>
    </row>
    <row r="100" spans="1:6" ht="14">
      <c r="A100" t="s">
        <v>446</v>
      </c>
      <c r="B100" t="s">
        <v>84</v>
      </c>
      <c r="C100" s="48">
        <v>400</v>
      </c>
      <c r="D100" t="s">
        <v>76</v>
      </c>
      <c r="E100" t="s">
        <v>77</v>
      </c>
      <c r="F100" s="50" t="s">
        <v>447</v>
      </c>
    </row>
    <row r="101" spans="1:6" ht="14">
      <c r="A101" t="s">
        <v>448</v>
      </c>
      <c r="B101" t="s">
        <v>84</v>
      </c>
      <c r="C101" s="48">
        <v>600</v>
      </c>
      <c r="D101" t="s">
        <v>76</v>
      </c>
      <c r="E101" t="s">
        <v>77</v>
      </c>
      <c r="F101" s="50" t="s">
        <v>449</v>
      </c>
    </row>
    <row r="102" spans="1:6" ht="14">
      <c r="A102" t="s">
        <v>450</v>
      </c>
      <c r="B102" t="s">
        <v>101</v>
      </c>
      <c r="C102" s="49">
        <v>0.15</v>
      </c>
      <c r="D102" t="s">
        <v>451</v>
      </c>
      <c r="E102" t="s">
        <v>98</v>
      </c>
      <c r="F102" s="50" t="s">
        <v>452</v>
      </c>
    </row>
  </sheetData>
  <phoneticPr fontId="3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baseColWidth="10" defaultColWidth="10.59765625" defaultRowHeight="13"/>
  <cols>
    <col min="1" max="1" width="39.796875" customWidth="1"/>
    <col min="2" max="2" width="9.796875" customWidth="1"/>
    <col min="3" max="26" width="14.59765625" customWidth="1"/>
  </cols>
  <sheetData>
    <row r="1" spans="1:26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>
      <c r="A2" s="28" t="s">
        <v>275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>
      <c r="A3" s="3"/>
      <c r="B3" s="3"/>
      <c r="C3" s="3"/>
      <c r="D3" s="3"/>
      <c r="E3" s="3"/>
      <c r="F3" s="3"/>
      <c r="G3" s="3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>
      <c r="A4" s="5" t="s">
        <v>2</v>
      </c>
      <c r="B4" s="5" t="s">
        <v>55</v>
      </c>
      <c r="C4" s="6" t="s">
        <v>26</v>
      </c>
      <c r="D4" s="6" t="s">
        <v>27</v>
      </c>
      <c r="E4" s="6" t="s">
        <v>28</v>
      </c>
      <c r="F4" s="6" t="s">
        <v>30</v>
      </c>
      <c r="G4" s="6" t="s">
        <v>32</v>
      </c>
      <c r="H4" s="6" t="s">
        <v>3</v>
      </c>
      <c r="I4" s="6" t="s">
        <v>35</v>
      </c>
      <c r="J4" s="6" t="s">
        <v>36</v>
      </c>
      <c r="K4" s="6" t="s">
        <v>38</v>
      </c>
      <c r="L4" s="6" t="s">
        <v>40</v>
      </c>
      <c r="M4" s="6" t="s">
        <v>41</v>
      </c>
      <c r="N4" s="6" t="s">
        <v>4</v>
      </c>
      <c r="O4" s="6" t="s">
        <v>42</v>
      </c>
      <c r="P4" s="6" t="s">
        <v>43</v>
      </c>
      <c r="Q4" s="6" t="s">
        <v>44</v>
      </c>
      <c r="R4" s="6" t="s">
        <v>45</v>
      </c>
      <c r="S4" s="6" t="s">
        <v>46</v>
      </c>
      <c r="T4" s="6" t="s">
        <v>47</v>
      </c>
      <c r="U4" s="6" t="s">
        <v>48</v>
      </c>
      <c r="V4" s="6" t="s">
        <v>49</v>
      </c>
      <c r="W4" s="6" t="s">
        <v>50</v>
      </c>
      <c r="X4" s="6" t="s">
        <v>51</v>
      </c>
      <c r="Y4" s="6" t="s">
        <v>52</v>
      </c>
      <c r="Z4" s="6" t="s">
        <v>5</v>
      </c>
    </row>
    <row r="5" spans="1:26" ht="16.5" customHeight="1">
      <c r="A5" s="5" t="s">
        <v>276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6.5" customHeight="1">
      <c r="A6" s="1" t="s">
        <v>277</v>
      </c>
      <c r="B6" s="1" t="s">
        <v>96</v>
      </c>
      <c r="C6" s="7">
        <f>Assumptions!$C$15</f>
        <v>25</v>
      </c>
      <c r="D6" s="7">
        <f>0</f>
        <v>0</v>
      </c>
      <c r="E6" s="7">
        <f>0</f>
        <v>0</v>
      </c>
      <c r="F6" s="7">
        <f>0</f>
        <v>0</v>
      </c>
      <c r="G6" s="7">
        <f>0</f>
        <v>0</v>
      </c>
      <c r="H6" s="7">
        <f>0</f>
        <v>0</v>
      </c>
      <c r="I6" s="7">
        <f>0</f>
        <v>0</v>
      </c>
      <c r="J6" s="7">
        <f>0</f>
        <v>0</v>
      </c>
      <c r="K6" s="7">
        <f>0</f>
        <v>0</v>
      </c>
      <c r="L6" s="7">
        <f>0</f>
        <v>0</v>
      </c>
      <c r="M6" s="7">
        <f>0</f>
        <v>0</v>
      </c>
      <c r="N6" s="7">
        <f>0</f>
        <v>0</v>
      </c>
      <c r="O6" s="7">
        <f>0</f>
        <v>0</v>
      </c>
      <c r="P6" s="7">
        <f>0</f>
        <v>0</v>
      </c>
      <c r="Q6" s="7">
        <f>0</f>
        <v>0</v>
      </c>
      <c r="R6" s="7">
        <f>0</f>
        <v>0</v>
      </c>
      <c r="S6" s="7">
        <f>0</f>
        <v>0</v>
      </c>
      <c r="T6" s="7">
        <f>0</f>
        <v>0</v>
      </c>
      <c r="U6" s="7">
        <f>0</f>
        <v>0</v>
      </c>
      <c r="V6" s="7">
        <f>0</f>
        <v>0</v>
      </c>
      <c r="W6" s="7">
        <f>0</f>
        <v>0</v>
      </c>
      <c r="X6" s="7">
        <f>0</f>
        <v>0</v>
      </c>
      <c r="Y6" s="7">
        <f>0</f>
        <v>0</v>
      </c>
      <c r="Z6" s="7">
        <f>0</f>
        <v>0</v>
      </c>
    </row>
    <row r="7" spans="1:26" ht="16.5" customHeight="1">
      <c r="A7" s="1" t="s">
        <v>278</v>
      </c>
      <c r="B7" s="1" t="s">
        <v>96</v>
      </c>
      <c r="C7" s="7">
        <f>C6*Assumptions!$C$16</f>
        <v>15</v>
      </c>
      <c r="D7" s="7">
        <f>D6*Assumptions!$C$16</f>
        <v>0</v>
      </c>
      <c r="E7" s="7">
        <f>E6*Assumptions!$C$16</f>
        <v>0</v>
      </c>
      <c r="F7" s="7">
        <f>F6*Assumptions!$C$16</f>
        <v>0</v>
      </c>
      <c r="G7" s="7">
        <f>G6*Assumptions!$C$16</f>
        <v>0</v>
      </c>
      <c r="H7" s="7">
        <f>H6*Assumptions!$C$16</f>
        <v>0</v>
      </c>
      <c r="I7" s="7">
        <f>I6*Assumptions!$C$16</f>
        <v>0</v>
      </c>
      <c r="J7" s="7">
        <f>J6*Assumptions!$C$16</f>
        <v>0</v>
      </c>
      <c r="K7" s="7">
        <f>K6*Assumptions!$C$16</f>
        <v>0</v>
      </c>
      <c r="L7" s="7">
        <f>L6*Assumptions!$C$16</f>
        <v>0</v>
      </c>
      <c r="M7" s="7">
        <f>M6*Assumptions!$C$16</f>
        <v>0</v>
      </c>
      <c r="N7" s="7">
        <f>N6*Assumptions!$C$16</f>
        <v>0</v>
      </c>
      <c r="O7" s="7">
        <f>O6*Assumptions!$C$16</f>
        <v>0</v>
      </c>
      <c r="P7" s="7">
        <f>P6*Assumptions!$C$16</f>
        <v>0</v>
      </c>
      <c r="Q7" s="7">
        <f>Q6*Assumptions!$C$16</f>
        <v>0</v>
      </c>
      <c r="R7" s="7">
        <f>R6*Assumptions!$C$16</f>
        <v>0</v>
      </c>
      <c r="S7" s="7">
        <f>S6*Assumptions!$C$16</f>
        <v>0</v>
      </c>
      <c r="T7" s="7">
        <f>T6*Assumptions!$C$16</f>
        <v>0</v>
      </c>
      <c r="U7" s="7">
        <f>U6*Assumptions!$C$16</f>
        <v>0</v>
      </c>
      <c r="V7" s="7">
        <f>V6*Assumptions!$C$16</f>
        <v>0</v>
      </c>
      <c r="W7" s="7">
        <f>W6*Assumptions!$C$16</f>
        <v>0</v>
      </c>
      <c r="X7" s="7">
        <f>X6*Assumptions!$C$16</f>
        <v>0</v>
      </c>
      <c r="Y7" s="7">
        <f>Y6*Assumptions!$C$16</f>
        <v>0</v>
      </c>
      <c r="Z7" s="7">
        <f>Z6*Assumptions!$C$16</f>
        <v>0</v>
      </c>
    </row>
    <row r="8" spans="1:26" ht="16.5" customHeight="1">
      <c r="A8" s="1" t="s">
        <v>279</v>
      </c>
      <c r="B8" s="1" t="s">
        <v>96</v>
      </c>
      <c r="C8" s="7">
        <f>C7*Assumptions!$C$17</f>
        <v>10.5</v>
      </c>
      <c r="D8" s="7">
        <f>D7*Assumptions!$C$17</f>
        <v>0</v>
      </c>
      <c r="E8" s="7">
        <f>E7*Assumptions!$C$17</f>
        <v>0</v>
      </c>
      <c r="F8" s="7">
        <f>F7*Assumptions!$C$17</f>
        <v>0</v>
      </c>
      <c r="G8" s="7">
        <f>G7*Assumptions!$C$17</f>
        <v>0</v>
      </c>
      <c r="H8" s="7">
        <f>H7*Assumptions!$C$17</f>
        <v>0</v>
      </c>
      <c r="I8" s="7">
        <f>I7*Assumptions!$C$17</f>
        <v>0</v>
      </c>
      <c r="J8" s="7">
        <f>J7*Assumptions!$C$17</f>
        <v>0</v>
      </c>
      <c r="K8" s="7">
        <f>K7*Assumptions!$C$17</f>
        <v>0</v>
      </c>
      <c r="L8" s="7">
        <f>L7*Assumptions!$C$17</f>
        <v>0</v>
      </c>
      <c r="M8" s="7">
        <f>M7*Assumptions!$C$17</f>
        <v>0</v>
      </c>
      <c r="N8" s="7">
        <f>N7*Assumptions!$C$17</f>
        <v>0</v>
      </c>
      <c r="O8" s="7">
        <f>O7*Assumptions!$C$17</f>
        <v>0</v>
      </c>
      <c r="P8" s="7">
        <f>P7*Assumptions!$C$17</f>
        <v>0</v>
      </c>
      <c r="Q8" s="7">
        <f>Q7*Assumptions!$C$17</f>
        <v>0</v>
      </c>
      <c r="R8" s="7">
        <f>R7*Assumptions!$C$17</f>
        <v>0</v>
      </c>
      <c r="S8" s="7">
        <f>S7*Assumptions!$C$17</f>
        <v>0</v>
      </c>
      <c r="T8" s="7">
        <f>T7*Assumptions!$C$17</f>
        <v>0</v>
      </c>
      <c r="U8" s="7">
        <f>U7*Assumptions!$C$17</f>
        <v>0</v>
      </c>
      <c r="V8" s="7">
        <f>V7*Assumptions!$C$17</f>
        <v>0</v>
      </c>
      <c r="W8" s="7">
        <f>W7*Assumptions!$C$17</f>
        <v>0</v>
      </c>
      <c r="X8" s="7">
        <f>X7*Assumptions!$C$17</f>
        <v>0</v>
      </c>
      <c r="Y8" s="7">
        <f>Y7*Assumptions!$C$17</f>
        <v>0</v>
      </c>
      <c r="Z8" s="7">
        <f>Z7*Assumptions!$C$17</f>
        <v>0</v>
      </c>
    </row>
    <row r="9" spans="1:26" ht="16.5" customHeight="1">
      <c r="A9" s="1" t="s">
        <v>280</v>
      </c>
      <c r="B9" s="1" t="s">
        <v>96</v>
      </c>
      <c r="C9" s="7">
        <f>Assumptions!$C$18*(1+Assumptions!$C$19)^0*Assumptions!$G$6</f>
        <v>20</v>
      </c>
      <c r="D9" s="7">
        <f>Assumptions!$C$18*(1+Assumptions!$C$19)^1*Assumptions!$H$6</f>
        <v>21</v>
      </c>
      <c r="E9" s="7">
        <f>Assumptions!$C$18*(1+Assumptions!$C$19)^2*Assumptions!$I$6</f>
        <v>22.05</v>
      </c>
      <c r="F9" s="7">
        <f>Assumptions!$C$18*(1+Assumptions!$C$19)^3*Assumptions!$J$6</f>
        <v>23.152500000000003</v>
      </c>
      <c r="G9" s="7">
        <f>Assumptions!$C$18*(1+Assumptions!$C$19)^4*Assumptions!$K$6</f>
        <v>24.310124999999999</v>
      </c>
      <c r="H9" s="7">
        <f>Assumptions!$C$18*(1+Assumptions!$C$19)^5*Assumptions!$L$6</f>
        <v>25.525631250000004</v>
      </c>
      <c r="I9" s="7">
        <f>Assumptions!$C$18*(1+Assumptions!$C$19)^6*Assumptions!$M$6</f>
        <v>26.801912812499999</v>
      </c>
      <c r="J9" s="7">
        <f>Assumptions!$C$18*(1+Assumptions!$C$19)^7*Assumptions!$N$6</f>
        <v>28.142008453125005</v>
      </c>
      <c r="K9" s="7">
        <f>Assumptions!$C$18*(1+Assumptions!$C$19)^8*Assumptions!$O$6</f>
        <v>29.549108875781251</v>
      </c>
      <c r="L9" s="7">
        <f>Assumptions!$C$18*(1+Assumptions!$C$19)^9*Assumptions!$P$6</f>
        <v>31.026564319570316</v>
      </c>
      <c r="M9" s="7">
        <f>Assumptions!$C$18*(1+Assumptions!$C$19)^10*Assumptions!$Q$6</f>
        <v>32.577892535548834</v>
      </c>
      <c r="N9" s="7">
        <f>Assumptions!$C$18*(1+Assumptions!$C$19)^11*Assumptions!$R$6</f>
        <v>34.206787162326279</v>
      </c>
      <c r="O9" s="7">
        <f>Assumptions!$C$18*(1+Assumptions!$C$19)^12*Assumptions!$G$6</f>
        <v>35.917126520442586</v>
      </c>
      <c r="P9" s="7">
        <f>Assumptions!$C$18*(1+Assumptions!$C$19)^13*Assumptions!$H$6</f>
        <v>37.712982846464719</v>
      </c>
      <c r="Q9" s="7">
        <f>Assumptions!$C$18*(1+Assumptions!$C$19)^14*Assumptions!$I$6</f>
        <v>39.598631988787943</v>
      </c>
      <c r="R9" s="7">
        <f>Assumptions!$C$18*(1+Assumptions!$C$19)^15*Assumptions!$J$6</f>
        <v>41.578563588227354</v>
      </c>
      <c r="S9" s="7">
        <f>Assumptions!$C$18*(1+Assumptions!$C$19)^16*Assumptions!$K$6</f>
        <v>43.657491767638717</v>
      </c>
      <c r="T9" s="7">
        <f>Assumptions!$C$18*(1+Assumptions!$C$19)^17*Assumptions!$L$6</f>
        <v>45.840366356020667</v>
      </c>
      <c r="U9" s="7">
        <f>Assumptions!$C$18*(1+Assumptions!$C$19)^18*Assumptions!$M$6</f>
        <v>48.132384673821697</v>
      </c>
      <c r="V9" s="7">
        <f>Assumptions!$C$18*(1+Assumptions!$C$19)^19*Assumptions!$N$6</f>
        <v>50.539003907512779</v>
      </c>
      <c r="W9" s="7">
        <f>Assumptions!$C$18*(1+Assumptions!$C$19)^20*Assumptions!$O$6</f>
        <v>53.065954102888419</v>
      </c>
      <c r="X9" s="7">
        <f>Assumptions!$C$18*(1+Assumptions!$C$19)^21*Assumptions!$P$6</f>
        <v>55.719251808032837</v>
      </c>
      <c r="Y9" s="7">
        <f>Assumptions!$C$18*(1+Assumptions!$C$19)^22*Assumptions!$Q$6</f>
        <v>58.505214398434475</v>
      </c>
      <c r="Z9" s="7">
        <f>Assumptions!$C$18*(1+Assumptions!$C$19)^23*Assumptions!$R$6</f>
        <v>61.430475118356213</v>
      </c>
    </row>
    <row r="10" spans="1:26" ht="16.5" customHeight="1">
      <c r="A10" s="1" t="s">
        <v>281</v>
      </c>
      <c r="B10" s="1" t="s">
        <v>96</v>
      </c>
      <c r="C10" s="7">
        <f>IF(1&lt;=Assumptions!$C$74,C8*Assumptions!$C$21,0)</f>
        <v>2.1</v>
      </c>
      <c r="D10" s="7">
        <f>IF(2&lt;=Assumptions!$C$74,C12*Assumptions!$C$21,0)</f>
        <v>0.1764</v>
      </c>
      <c r="E10" s="7">
        <f>IF(3&lt;=Assumptions!$C$74,D12*Assumptions!$C$21,0)</f>
        <v>0</v>
      </c>
      <c r="F10" s="7">
        <f>IF(4&lt;=Assumptions!$C$74,E12*Assumptions!$C$21,0)</f>
        <v>0</v>
      </c>
      <c r="G10" s="7">
        <f>IF(5&lt;=Assumptions!$C$74,F12*Assumptions!$C$21,0)</f>
        <v>0</v>
      </c>
      <c r="H10" s="7">
        <f>IF(6&lt;=Assumptions!$C$74,G12*Assumptions!$C$21,0)</f>
        <v>0</v>
      </c>
      <c r="I10" s="7">
        <f>IF(7&lt;=Assumptions!$C$74,H12*Assumptions!$C$21,0)</f>
        <v>0</v>
      </c>
      <c r="J10" s="7">
        <f>IF(8&lt;=Assumptions!$C$74,I12*Assumptions!$C$21,0)</f>
        <v>0</v>
      </c>
      <c r="K10" s="7">
        <f>IF(9&lt;=Assumptions!$C$74,J12*Assumptions!$C$21,0)</f>
        <v>0</v>
      </c>
      <c r="L10" s="7">
        <f>IF(10&lt;=Assumptions!$C$74,K12*Assumptions!$C$21,0)</f>
        <v>0</v>
      </c>
      <c r="M10" s="7">
        <f>IF(11&lt;=Assumptions!$C$74,L12*Assumptions!$C$21,0)</f>
        <v>0</v>
      </c>
      <c r="N10" s="7">
        <f>IF(12&lt;=Assumptions!$C$74,M12*Assumptions!$C$21,0)</f>
        <v>0</v>
      </c>
      <c r="O10" s="7">
        <f>IF(13&lt;=Assumptions!$C$74,N12*Assumptions!$C$21,0)</f>
        <v>0</v>
      </c>
      <c r="P10" s="7">
        <f>IF(14&lt;=Assumptions!$C$74,O12*Assumptions!$C$21,0)</f>
        <v>0</v>
      </c>
      <c r="Q10" s="7">
        <f>IF(15&lt;=Assumptions!$C$74,P12*Assumptions!$C$21,0)</f>
        <v>0</v>
      </c>
      <c r="R10" s="7">
        <f>IF(16&lt;=Assumptions!$C$74,Q12*Assumptions!$C$21,0)</f>
        <v>0</v>
      </c>
      <c r="S10" s="7">
        <f>IF(17&lt;=Assumptions!$C$74,R12*Assumptions!$C$21,0)</f>
        <v>0</v>
      </c>
      <c r="T10" s="7">
        <f>IF(18&lt;=Assumptions!$C$74,S12*Assumptions!$C$21,0)</f>
        <v>0</v>
      </c>
      <c r="U10" s="7">
        <f>IF(19&lt;=Assumptions!$C$74,T12*Assumptions!$C$21,0)</f>
        <v>0</v>
      </c>
      <c r="V10" s="7">
        <f>IF(20&lt;=Assumptions!$C$74,U12*Assumptions!$C$21,0)</f>
        <v>0</v>
      </c>
      <c r="W10" s="7">
        <f>IF(21&lt;=Assumptions!$C$74,V12*Assumptions!$C$21,0)</f>
        <v>0</v>
      </c>
      <c r="X10" s="7">
        <f>IF(22&lt;=Assumptions!$C$74,W12*Assumptions!$C$21,0)</f>
        <v>0</v>
      </c>
      <c r="Y10" s="7">
        <f>IF(23&lt;=Assumptions!$C$74,X12*Assumptions!$C$21,0)</f>
        <v>0</v>
      </c>
      <c r="Z10" s="7">
        <f>IF(24&lt;=Assumptions!$C$74,Y12*Assumptions!$C$21,0)</f>
        <v>0</v>
      </c>
    </row>
    <row r="11" spans="1:26" ht="16.5" customHeight="1">
      <c r="A11" s="1" t="s">
        <v>282</v>
      </c>
      <c r="B11" s="1" t="s">
        <v>96</v>
      </c>
      <c r="C11" s="7">
        <f>C10*Assumptions!$C$11*Assumptions!$C$22</f>
        <v>1.26</v>
      </c>
      <c r="D11" s="7">
        <f>D10*Assumptions!$C$11*Assumptions!$C$22</f>
        <v>0.10584</v>
      </c>
      <c r="E11" s="7">
        <f>E10*Assumptions!$C$11*Assumptions!$C$22</f>
        <v>0</v>
      </c>
      <c r="F11" s="7">
        <f>F10*Assumptions!$C$11*Assumptions!$C$22</f>
        <v>0</v>
      </c>
      <c r="G11" s="7">
        <f>G10*Assumptions!$C$11*Assumptions!$C$22</f>
        <v>0</v>
      </c>
      <c r="H11" s="7">
        <f>H10*Assumptions!$C$11*Assumptions!$C$22</f>
        <v>0</v>
      </c>
      <c r="I11" s="7">
        <f>I10*Assumptions!$C$11*Assumptions!$C$22</f>
        <v>0</v>
      </c>
      <c r="J11" s="7">
        <f>J10*Assumptions!$C$11*Assumptions!$C$22</f>
        <v>0</v>
      </c>
      <c r="K11" s="7">
        <f>K10*Assumptions!$C$11*Assumptions!$C$22</f>
        <v>0</v>
      </c>
      <c r="L11" s="7">
        <f>L10*Assumptions!$C$11*Assumptions!$C$22</f>
        <v>0</v>
      </c>
      <c r="M11" s="7">
        <f>M10*Assumptions!$C$11*Assumptions!$C$22</f>
        <v>0</v>
      </c>
      <c r="N11" s="7">
        <f>N10*Assumptions!$C$11*Assumptions!$C$22</f>
        <v>0</v>
      </c>
      <c r="O11" s="7">
        <f>O10*Assumptions!$C$11*Assumptions!$C$22</f>
        <v>0</v>
      </c>
      <c r="P11" s="7">
        <f>P10*Assumptions!$C$11*Assumptions!$C$22</f>
        <v>0</v>
      </c>
      <c r="Q11" s="7">
        <f>Q10*Assumptions!$C$11*Assumptions!$C$22</f>
        <v>0</v>
      </c>
      <c r="R11" s="7">
        <f>R10*Assumptions!$C$11*Assumptions!$C$22</f>
        <v>0</v>
      </c>
      <c r="S11" s="7">
        <f>S10*Assumptions!$C$11*Assumptions!$C$22</f>
        <v>0</v>
      </c>
      <c r="T11" s="7">
        <f>T10*Assumptions!$C$11*Assumptions!$C$22</f>
        <v>0</v>
      </c>
      <c r="U11" s="7">
        <f>U10*Assumptions!$C$11*Assumptions!$C$22</f>
        <v>0</v>
      </c>
      <c r="V11" s="7">
        <f>V10*Assumptions!$C$11*Assumptions!$C$22</f>
        <v>0</v>
      </c>
      <c r="W11" s="7">
        <f>W10*Assumptions!$C$11*Assumptions!$C$22</f>
        <v>0</v>
      </c>
      <c r="X11" s="7">
        <f>X10*Assumptions!$C$11*Assumptions!$C$22</f>
        <v>0</v>
      </c>
      <c r="Y11" s="7">
        <f>Y10*Assumptions!$C$11*Assumptions!$C$22</f>
        <v>0</v>
      </c>
      <c r="Z11" s="7">
        <f>Z10*Assumptions!$C$11*Assumptions!$C$22</f>
        <v>0</v>
      </c>
    </row>
    <row r="12" spans="1:26" ht="16.5" customHeight="1">
      <c r="A12" s="1" t="s">
        <v>283</v>
      </c>
      <c r="B12" s="1" t="s">
        <v>96</v>
      </c>
      <c r="C12" s="7">
        <f>C11*Assumptions!$C$23</f>
        <v>0.8819999999999999</v>
      </c>
      <c r="D12" s="7">
        <f>D11*Assumptions!$C$23</f>
        <v>7.4088000000000001E-2</v>
      </c>
      <c r="E12" s="7">
        <f>E11*Assumptions!$C$23</f>
        <v>0</v>
      </c>
      <c r="F12" s="7">
        <f>F11*Assumptions!$C$23</f>
        <v>0</v>
      </c>
      <c r="G12" s="7">
        <f>G11*Assumptions!$C$23</f>
        <v>0</v>
      </c>
      <c r="H12" s="7">
        <f>H11*Assumptions!$C$23</f>
        <v>0</v>
      </c>
      <c r="I12" s="7">
        <f>I11*Assumptions!$C$23</f>
        <v>0</v>
      </c>
      <c r="J12" s="7">
        <f>J11*Assumptions!$C$23</f>
        <v>0</v>
      </c>
      <c r="K12" s="7">
        <f>K11*Assumptions!$C$23</f>
        <v>0</v>
      </c>
      <c r="L12" s="7">
        <f>L11*Assumptions!$C$23</f>
        <v>0</v>
      </c>
      <c r="M12" s="7">
        <f>M11*Assumptions!$C$23</f>
        <v>0</v>
      </c>
      <c r="N12" s="7">
        <f>N11*Assumptions!$C$23</f>
        <v>0</v>
      </c>
      <c r="O12" s="7">
        <f>O11*Assumptions!$C$23</f>
        <v>0</v>
      </c>
      <c r="P12" s="7">
        <f>P11*Assumptions!$C$23</f>
        <v>0</v>
      </c>
      <c r="Q12" s="7">
        <f>Q11*Assumptions!$C$23</f>
        <v>0</v>
      </c>
      <c r="R12" s="7">
        <f>R11*Assumptions!$C$23</f>
        <v>0</v>
      </c>
      <c r="S12" s="7">
        <f>S11*Assumptions!$C$23</f>
        <v>0</v>
      </c>
      <c r="T12" s="7">
        <f>T11*Assumptions!$C$23</f>
        <v>0</v>
      </c>
      <c r="U12" s="7">
        <f>U11*Assumptions!$C$23</f>
        <v>0</v>
      </c>
      <c r="V12" s="7">
        <f>V11*Assumptions!$C$23</f>
        <v>0</v>
      </c>
      <c r="W12" s="7">
        <f>W11*Assumptions!$C$23</f>
        <v>0</v>
      </c>
      <c r="X12" s="7">
        <f>X11*Assumptions!$C$23</f>
        <v>0</v>
      </c>
      <c r="Y12" s="7">
        <f>Y11*Assumptions!$C$23</f>
        <v>0</v>
      </c>
      <c r="Z12" s="7">
        <f>Z11*Assumptions!$C$23</f>
        <v>0</v>
      </c>
    </row>
    <row r="13" spans="1:26" ht="16.5" customHeight="1">
      <c r="A13" s="1" t="s">
        <v>453</v>
      </c>
      <c r="B13" s="1" t="s">
        <v>96</v>
      </c>
      <c r="C13" s="7">
        <f>C9*Assumptions!$C$102</f>
        <v>3</v>
      </c>
      <c r="D13" s="7">
        <f>D9*Assumptions!$C$102</f>
        <v>3.15</v>
      </c>
      <c r="E13" s="7">
        <f>E9*Assumptions!$C$102</f>
        <v>3.3075000000000001</v>
      </c>
      <c r="F13" s="7">
        <f>F9*Assumptions!$C$102</f>
        <v>3.4728750000000006</v>
      </c>
      <c r="G13" s="7">
        <f>G9*Assumptions!$C$102</f>
        <v>3.6465187499999998</v>
      </c>
      <c r="H13" s="7">
        <f>H9*Assumptions!$C$102</f>
        <v>3.8288446875000002</v>
      </c>
      <c r="I13" s="7">
        <f>I9*Assumptions!$C$102</f>
        <v>4.0202869218749999</v>
      </c>
      <c r="J13" s="7">
        <f>J9*Assumptions!$C$102</f>
        <v>4.2213012679687507</v>
      </c>
      <c r="K13" s="7">
        <f>K9*Assumptions!$C$102</f>
        <v>4.4323663313671871</v>
      </c>
      <c r="L13" s="7">
        <f>L9*Assumptions!$C$102</f>
        <v>4.6539846479355473</v>
      </c>
      <c r="M13" s="7">
        <f>M9*Assumptions!$C$102</f>
        <v>4.8866838803323249</v>
      </c>
      <c r="N13" s="7">
        <f>N9*Assumptions!$C$102</f>
        <v>5.1310180743489413</v>
      </c>
      <c r="O13" s="7">
        <f>O9*Assumptions!$C$102</f>
        <v>5.3875689780663878</v>
      </c>
      <c r="P13" s="7">
        <f>P9*Assumptions!$C$102</f>
        <v>5.6569474269697073</v>
      </c>
      <c r="Q13" s="7">
        <f>Q9*Assumptions!$C$102</f>
        <v>5.9397947983181911</v>
      </c>
      <c r="R13" s="7">
        <f>R9*Assumptions!$C$102</f>
        <v>6.2367845382341027</v>
      </c>
      <c r="S13" s="7">
        <f>S9*Assumptions!$C$102</f>
        <v>6.5486237651458072</v>
      </c>
      <c r="T13" s="7">
        <f>T9*Assumptions!$C$102</f>
        <v>6.8760549534030995</v>
      </c>
      <c r="U13" s="7">
        <f>U9*Assumptions!$C$102</f>
        <v>7.2198577010732539</v>
      </c>
      <c r="V13" s="7">
        <f>V9*Assumptions!$C$102</f>
        <v>7.5808505861269166</v>
      </c>
      <c r="W13" s="7">
        <f>W9*Assumptions!$C$102</f>
        <v>7.9598931154332622</v>
      </c>
      <c r="X13" s="7">
        <f>X9*Assumptions!$C$102</f>
        <v>8.3578877712049255</v>
      </c>
      <c r="Y13" s="7">
        <f>Y9*Assumptions!$C$102</f>
        <v>8.7757821597651713</v>
      </c>
      <c r="Z13" s="7">
        <f>Z9*Assumptions!$C$102</f>
        <v>9.2145712677534313</v>
      </c>
    </row>
    <row r="14" spans="1:26" ht="16.5" customHeight="1">
      <c r="A14" s="10" t="s">
        <v>284</v>
      </c>
      <c r="B14" s="10" t="s">
        <v>96</v>
      </c>
      <c r="C14" s="29">
        <f t="shared" ref="C14:Z14" si="0">SUM(C7,C9,C11)</f>
        <v>36.26</v>
      </c>
      <c r="D14" s="29">
        <f t="shared" si="0"/>
        <v>21.105840000000001</v>
      </c>
      <c r="E14" s="29">
        <f t="shared" si="0"/>
        <v>22.05</v>
      </c>
      <c r="F14" s="29">
        <f t="shared" si="0"/>
        <v>23.152500000000003</v>
      </c>
      <c r="G14" s="29">
        <f t="shared" si="0"/>
        <v>24.310124999999999</v>
      </c>
      <c r="H14" s="29">
        <f t="shared" si="0"/>
        <v>25.525631250000004</v>
      </c>
      <c r="I14" s="29">
        <f t="shared" si="0"/>
        <v>26.801912812499999</v>
      </c>
      <c r="J14" s="29">
        <f t="shared" si="0"/>
        <v>28.142008453125005</v>
      </c>
      <c r="K14" s="29">
        <f t="shared" si="0"/>
        <v>29.549108875781251</v>
      </c>
      <c r="L14" s="29">
        <f t="shared" si="0"/>
        <v>31.026564319570316</v>
      </c>
      <c r="M14" s="29">
        <f t="shared" si="0"/>
        <v>32.577892535548834</v>
      </c>
      <c r="N14" s="29">
        <f t="shared" si="0"/>
        <v>34.206787162326279</v>
      </c>
      <c r="O14" s="29">
        <f t="shared" si="0"/>
        <v>35.917126520442586</v>
      </c>
      <c r="P14" s="29">
        <f t="shared" si="0"/>
        <v>37.712982846464719</v>
      </c>
      <c r="Q14" s="29">
        <f t="shared" si="0"/>
        <v>39.598631988787943</v>
      </c>
      <c r="R14" s="29">
        <f t="shared" si="0"/>
        <v>41.578563588227354</v>
      </c>
      <c r="S14" s="29">
        <f t="shared" si="0"/>
        <v>43.657491767638717</v>
      </c>
      <c r="T14" s="29">
        <f t="shared" si="0"/>
        <v>45.840366356020667</v>
      </c>
      <c r="U14" s="29">
        <f t="shared" si="0"/>
        <v>48.132384673821697</v>
      </c>
      <c r="V14" s="29">
        <f t="shared" si="0"/>
        <v>50.539003907512779</v>
      </c>
      <c r="W14" s="29">
        <f t="shared" si="0"/>
        <v>53.065954102888419</v>
      </c>
      <c r="X14" s="29">
        <f t="shared" si="0"/>
        <v>55.719251808032837</v>
      </c>
      <c r="Y14" s="29">
        <f t="shared" si="0"/>
        <v>58.505214398434475</v>
      </c>
      <c r="Z14" s="29">
        <f t="shared" si="0"/>
        <v>61.430475118356213</v>
      </c>
    </row>
    <row r="15" spans="1:26" ht="16.5" customHeight="1">
      <c r="A15" s="10" t="s">
        <v>285</v>
      </c>
      <c r="B15" s="10" t="s">
        <v>96</v>
      </c>
      <c r="C15" s="29">
        <f t="shared" ref="C15:Z15" si="1">SUM(C8,C13,C12)</f>
        <v>14.382</v>
      </c>
      <c r="D15" s="29">
        <f t="shared" si="1"/>
        <v>3.2240880000000001</v>
      </c>
      <c r="E15" s="29">
        <f t="shared" si="1"/>
        <v>3.3075000000000001</v>
      </c>
      <c r="F15" s="29">
        <f t="shared" si="1"/>
        <v>3.4728750000000006</v>
      </c>
      <c r="G15" s="29">
        <f t="shared" si="1"/>
        <v>3.6465187499999998</v>
      </c>
      <c r="H15" s="29">
        <f t="shared" si="1"/>
        <v>3.8288446875000002</v>
      </c>
      <c r="I15" s="29">
        <f t="shared" si="1"/>
        <v>4.0202869218749999</v>
      </c>
      <c r="J15" s="29">
        <f t="shared" si="1"/>
        <v>4.2213012679687507</v>
      </c>
      <c r="K15" s="29">
        <f t="shared" si="1"/>
        <v>4.4323663313671871</v>
      </c>
      <c r="L15" s="29">
        <f t="shared" si="1"/>
        <v>4.6539846479355473</v>
      </c>
      <c r="M15" s="29">
        <f t="shared" si="1"/>
        <v>4.8866838803323249</v>
      </c>
      <c r="N15" s="29">
        <f t="shared" si="1"/>
        <v>5.1310180743489413</v>
      </c>
      <c r="O15" s="29">
        <f t="shared" si="1"/>
        <v>5.3875689780663878</v>
      </c>
      <c r="P15" s="29">
        <f t="shared" si="1"/>
        <v>5.6569474269697073</v>
      </c>
      <c r="Q15" s="29">
        <f t="shared" si="1"/>
        <v>5.9397947983181911</v>
      </c>
      <c r="R15" s="29">
        <f t="shared" si="1"/>
        <v>6.2367845382341027</v>
      </c>
      <c r="S15" s="29">
        <f t="shared" si="1"/>
        <v>6.5486237651458072</v>
      </c>
      <c r="T15" s="29">
        <f t="shared" si="1"/>
        <v>6.8760549534030995</v>
      </c>
      <c r="U15" s="29">
        <f t="shared" si="1"/>
        <v>7.2198577010732539</v>
      </c>
      <c r="V15" s="29">
        <f t="shared" si="1"/>
        <v>7.5808505861269166</v>
      </c>
      <c r="W15" s="29">
        <f t="shared" si="1"/>
        <v>7.9598931154332622</v>
      </c>
      <c r="X15" s="29">
        <f t="shared" si="1"/>
        <v>8.3578877712049255</v>
      </c>
      <c r="Y15" s="29">
        <f t="shared" si="1"/>
        <v>8.7757821597651713</v>
      </c>
      <c r="Z15" s="29">
        <f t="shared" si="1"/>
        <v>9.2145712677534313</v>
      </c>
    </row>
    <row r="16" spans="1:26" ht="16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>
      <c r="A17" s="5" t="s">
        <v>286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6.5" customHeight="1">
      <c r="A18" s="1" t="s">
        <v>454</v>
      </c>
      <c r="B18" s="1" t="s">
        <v>96</v>
      </c>
      <c r="C18" s="7">
        <f t="shared" ref="C18:Z18" si="2">C13</f>
        <v>3</v>
      </c>
      <c r="D18" s="7">
        <f t="shared" si="2"/>
        <v>3.15</v>
      </c>
      <c r="E18" s="7">
        <f t="shared" si="2"/>
        <v>3.3075000000000001</v>
      </c>
      <c r="F18" s="7">
        <f t="shared" si="2"/>
        <v>3.4728750000000006</v>
      </c>
      <c r="G18" s="7">
        <f t="shared" si="2"/>
        <v>3.6465187499999998</v>
      </c>
      <c r="H18" s="7">
        <f t="shared" si="2"/>
        <v>3.8288446875000002</v>
      </c>
      <c r="I18" s="7">
        <f t="shared" si="2"/>
        <v>4.0202869218749999</v>
      </c>
      <c r="J18" s="7">
        <f t="shared" si="2"/>
        <v>4.2213012679687507</v>
      </c>
      <c r="K18" s="7">
        <f t="shared" si="2"/>
        <v>4.4323663313671871</v>
      </c>
      <c r="L18" s="7">
        <f t="shared" si="2"/>
        <v>4.6539846479355473</v>
      </c>
      <c r="M18" s="7">
        <f t="shared" si="2"/>
        <v>4.8866838803323249</v>
      </c>
      <c r="N18" s="7">
        <f t="shared" si="2"/>
        <v>5.1310180743489413</v>
      </c>
      <c r="O18" s="7">
        <f t="shared" si="2"/>
        <v>5.3875689780663878</v>
      </c>
      <c r="P18" s="7">
        <f t="shared" si="2"/>
        <v>5.6569474269697073</v>
      </c>
      <c r="Q18" s="7">
        <f t="shared" si="2"/>
        <v>5.9397947983181911</v>
      </c>
      <c r="R18" s="7">
        <f t="shared" si="2"/>
        <v>6.2367845382341027</v>
      </c>
      <c r="S18" s="7">
        <f t="shared" si="2"/>
        <v>6.5486237651458072</v>
      </c>
      <c r="T18" s="7">
        <f t="shared" si="2"/>
        <v>6.8760549534030995</v>
      </c>
      <c r="U18" s="7">
        <f t="shared" si="2"/>
        <v>7.2198577010732539</v>
      </c>
      <c r="V18" s="7">
        <f t="shared" si="2"/>
        <v>7.5808505861269166</v>
      </c>
      <c r="W18" s="7">
        <f t="shared" si="2"/>
        <v>7.9598931154332622</v>
      </c>
      <c r="X18" s="7">
        <f t="shared" si="2"/>
        <v>8.3578877712049255</v>
      </c>
      <c r="Y18" s="7">
        <f t="shared" si="2"/>
        <v>8.7757821597651713</v>
      </c>
      <c r="Z18" s="7">
        <f t="shared" si="2"/>
        <v>9.2145712677534313</v>
      </c>
    </row>
    <row r="19" spans="1:26" ht="16.5" customHeight="1">
      <c r="A19" s="1" t="s">
        <v>287</v>
      </c>
      <c r="B19" s="1" t="s">
        <v>96</v>
      </c>
      <c r="C19" s="7">
        <f>SUM(IF(0=MAX(1,ROUNDUP(Assumptions!$C$9/30,0)),C12*Assumptions!$C$25,0))</f>
        <v>0</v>
      </c>
      <c r="D19" s="7">
        <f>SUM(IF(1=MAX(1,ROUNDUP(Assumptions!$C$9/30,0)),C12*Assumptions!$C$25,0),IF(0=MAX(1,ROUNDUP(Assumptions!$C$9/30,0)),D12*Assumptions!$C$25,0))</f>
        <v>0.22049999999999997</v>
      </c>
      <c r="E19" s="7">
        <f>SUM(IF(2=MAX(1,ROUNDUP(Assumptions!$C$9/30,0)),C12*Assumptions!$C$25,0),IF(1=MAX(1,ROUNDUP(Assumptions!$C$9/30,0)),D12*Assumptions!$C$25,0),IF(0=MAX(1,ROUNDUP(Assumptions!$C$9/30,0)),E12*Assumptions!$C$25,0))</f>
        <v>1.8522E-2</v>
      </c>
      <c r="F19" s="7">
        <f>SUM(IF(3=MAX(1,ROUNDUP(Assumptions!$C$9/30,0)),C12*Assumptions!$C$25,0),IF(2=MAX(1,ROUNDUP(Assumptions!$C$9/30,0)),D12*Assumptions!$C$25,0),IF(1=MAX(1,ROUNDUP(Assumptions!$C$9/30,0)),E12*Assumptions!$C$25,0),IF(0=MAX(1,ROUNDUP(Assumptions!$C$9/30,0)),F12*Assumptions!$C$25,0))</f>
        <v>0</v>
      </c>
      <c r="G19" s="7">
        <f>SUM(IF(4=MAX(1,ROUNDUP(Assumptions!$C$9/30,0)),C12*Assumptions!$C$25,0),IF(3=MAX(1,ROUNDUP(Assumptions!$C$9/30,0)),D12*Assumptions!$C$25,0),IF(2=MAX(1,ROUNDUP(Assumptions!$C$9/30,0)),E12*Assumptions!$C$25,0),IF(1=MAX(1,ROUNDUP(Assumptions!$C$9/30,0)),F12*Assumptions!$C$25,0),IF(0=MAX(1,ROUNDUP(Assumptions!$C$9/30,0)),G12*Assumptions!$C$25,0))</f>
        <v>0</v>
      </c>
      <c r="H19" s="7">
        <f>SUM(IF(5=MAX(1,ROUNDUP(Assumptions!$C$9/30,0)),C12*Assumptions!$C$25,0),IF(4=MAX(1,ROUNDUP(Assumptions!$C$9/30,0)),D12*Assumptions!$C$25,0),IF(3=MAX(1,ROUNDUP(Assumptions!$C$9/30,0)),E12*Assumptions!$C$25,0),IF(2=MAX(1,ROUNDUP(Assumptions!$C$9/30,0)),F12*Assumptions!$C$25,0),IF(1=MAX(1,ROUNDUP(Assumptions!$C$9/30,0)),G12*Assumptions!$C$25,0),IF(0=MAX(1,ROUNDUP(Assumptions!$C$9/30,0)),H12*Assumptions!$C$25,0))</f>
        <v>0</v>
      </c>
      <c r="I19" s="7">
        <f>SUM(IF(6=MAX(1,ROUNDUP(Assumptions!$C$9/30,0)),C12*Assumptions!$C$25,0),IF(5=MAX(1,ROUNDUP(Assumptions!$C$9/30,0)),D12*Assumptions!$C$25,0),IF(4=MAX(1,ROUNDUP(Assumptions!$C$9/30,0)),E12*Assumptions!$C$25,0),IF(3=MAX(1,ROUNDUP(Assumptions!$C$9/30,0)),F12*Assumptions!$C$25,0),IF(2=MAX(1,ROUNDUP(Assumptions!$C$9/30,0)),G12*Assumptions!$C$25,0),IF(1=MAX(1,ROUNDUP(Assumptions!$C$9/30,0)),H12*Assumptions!$C$25,0),IF(0=MAX(1,ROUNDUP(Assumptions!$C$9/30,0)),I12*Assumptions!$C$25,0))</f>
        <v>0</v>
      </c>
      <c r="J19" s="7">
        <f>SUM(IF(7=MAX(1,ROUNDUP(Assumptions!$C$9/30,0)),C12*Assumptions!$C$25,0),IF(6=MAX(1,ROUNDUP(Assumptions!$C$9/30,0)),D12*Assumptions!$C$25,0),IF(5=MAX(1,ROUNDUP(Assumptions!$C$9/30,0)),E12*Assumptions!$C$25,0),IF(4=MAX(1,ROUNDUP(Assumptions!$C$9/30,0)),F12*Assumptions!$C$25,0),IF(3=MAX(1,ROUNDUP(Assumptions!$C$9/30,0)),G12*Assumptions!$C$25,0),IF(2=MAX(1,ROUNDUP(Assumptions!$C$9/30,0)),H12*Assumptions!$C$25,0),IF(1=MAX(1,ROUNDUP(Assumptions!$C$9/30,0)),I12*Assumptions!$C$25,0),IF(0=MAX(1,ROUNDUP(Assumptions!$C$9/30,0)),J12*Assumptions!$C$25,0))</f>
        <v>0</v>
      </c>
      <c r="K19" s="7">
        <f>SUM(IF(8=MAX(1,ROUNDUP(Assumptions!$C$9/30,0)),C12*Assumptions!$C$25,0),IF(7=MAX(1,ROUNDUP(Assumptions!$C$9/30,0)),D12*Assumptions!$C$25,0),IF(6=MAX(1,ROUNDUP(Assumptions!$C$9/30,0)),E12*Assumptions!$C$25,0),IF(5=MAX(1,ROUNDUP(Assumptions!$C$9/30,0)),F12*Assumptions!$C$25,0),IF(4=MAX(1,ROUNDUP(Assumptions!$C$9/30,0)),G12*Assumptions!$C$25,0),IF(3=MAX(1,ROUNDUP(Assumptions!$C$9/30,0)),H12*Assumptions!$C$25,0),IF(2=MAX(1,ROUNDUP(Assumptions!$C$9/30,0)),I12*Assumptions!$C$25,0),IF(1=MAX(1,ROUNDUP(Assumptions!$C$9/30,0)),J12*Assumptions!$C$25,0),IF(0=MAX(1,ROUNDUP(Assumptions!$C$9/30,0)),K12*Assumptions!$C$25,0))</f>
        <v>0</v>
      </c>
      <c r="L19" s="7">
        <f>SUM(IF(9=MAX(1,ROUNDUP(Assumptions!$C$9/30,0)),C12*Assumptions!$C$25,0),IF(8=MAX(1,ROUNDUP(Assumptions!$C$9/30,0)),D12*Assumptions!$C$25,0),IF(7=MAX(1,ROUNDUP(Assumptions!$C$9/30,0)),E12*Assumptions!$C$25,0),IF(6=MAX(1,ROUNDUP(Assumptions!$C$9/30,0)),F12*Assumptions!$C$25,0),IF(5=MAX(1,ROUNDUP(Assumptions!$C$9/30,0)),G12*Assumptions!$C$25,0),IF(4=MAX(1,ROUNDUP(Assumptions!$C$9/30,0)),H12*Assumptions!$C$25,0),IF(3=MAX(1,ROUNDUP(Assumptions!$C$9/30,0)),I12*Assumptions!$C$25,0),IF(2=MAX(1,ROUNDUP(Assumptions!$C$9/30,0)),J12*Assumptions!$C$25,0),IF(1=MAX(1,ROUNDUP(Assumptions!$C$9/30,0)),K12*Assumptions!$C$25,0),IF(0=MAX(1,ROUNDUP(Assumptions!$C$9/30,0)),L12*Assumptions!$C$25,0))</f>
        <v>0</v>
      </c>
      <c r="M19" s="7">
        <f>SUM(IF(10=MAX(1,ROUNDUP(Assumptions!$C$9/30,0)),C12*Assumptions!$C$25,0),IF(9=MAX(1,ROUNDUP(Assumptions!$C$9/30,0)),D12*Assumptions!$C$25,0),IF(8=MAX(1,ROUNDUP(Assumptions!$C$9/30,0)),E12*Assumptions!$C$25,0),IF(7=MAX(1,ROUNDUP(Assumptions!$C$9/30,0)),F12*Assumptions!$C$25,0),IF(6=MAX(1,ROUNDUP(Assumptions!$C$9/30,0)),G12*Assumptions!$C$25,0),IF(5=MAX(1,ROUNDUP(Assumptions!$C$9/30,0)),H12*Assumptions!$C$25,0),IF(4=MAX(1,ROUNDUP(Assumptions!$C$9/30,0)),I12*Assumptions!$C$25,0),IF(3=MAX(1,ROUNDUP(Assumptions!$C$9/30,0)),J12*Assumptions!$C$25,0),IF(2=MAX(1,ROUNDUP(Assumptions!$C$9/30,0)),K12*Assumptions!$C$25,0),IF(1=MAX(1,ROUNDUP(Assumptions!$C$9/30,0)),L12*Assumptions!$C$25,0),IF(0=MAX(1,ROUNDUP(Assumptions!$C$9/30,0)),M12*Assumptions!$C$25,0))</f>
        <v>0</v>
      </c>
      <c r="N19" s="7">
        <f>SUM(IF(11=MAX(1,ROUNDUP(Assumptions!$C$9/30,0)),C12*Assumptions!$C$25,0),IF(10=MAX(1,ROUNDUP(Assumptions!$C$9/30,0)),D12*Assumptions!$C$25,0),IF(9=MAX(1,ROUNDUP(Assumptions!$C$9/30,0)),E12*Assumptions!$C$25,0),IF(8=MAX(1,ROUNDUP(Assumptions!$C$9/30,0)),F12*Assumptions!$C$25,0),IF(7=MAX(1,ROUNDUP(Assumptions!$C$9/30,0)),G12*Assumptions!$C$25,0),IF(6=MAX(1,ROUNDUP(Assumptions!$C$9/30,0)),H12*Assumptions!$C$25,0),IF(5=MAX(1,ROUNDUP(Assumptions!$C$9/30,0)),I12*Assumptions!$C$25,0),IF(4=MAX(1,ROUNDUP(Assumptions!$C$9/30,0)),J12*Assumptions!$C$25,0),IF(3=MAX(1,ROUNDUP(Assumptions!$C$9/30,0)),K12*Assumptions!$C$25,0),IF(2=MAX(1,ROUNDUP(Assumptions!$C$9/30,0)),L12*Assumptions!$C$25,0),IF(1=MAX(1,ROUNDUP(Assumptions!$C$9/30,0)),M12*Assumptions!$C$25,0),IF(0=MAX(1,ROUNDUP(Assumptions!$C$9/30,0)),N12*Assumptions!$C$25,0))</f>
        <v>0</v>
      </c>
      <c r="O19" s="7">
        <f>SUM(IF(12=MAX(1,ROUNDUP(Assumptions!$C$9/30,0)),C12*Assumptions!$C$25,0),IF(11=MAX(1,ROUNDUP(Assumptions!$C$9/30,0)),D12*Assumptions!$C$25,0),IF(10=MAX(1,ROUNDUP(Assumptions!$C$9/30,0)),E12*Assumptions!$C$25,0),IF(9=MAX(1,ROUNDUP(Assumptions!$C$9/30,0)),F12*Assumptions!$C$25,0),IF(8=MAX(1,ROUNDUP(Assumptions!$C$9/30,0)),G12*Assumptions!$C$25,0),IF(7=MAX(1,ROUNDUP(Assumptions!$C$9/30,0)),H12*Assumptions!$C$25,0),IF(6=MAX(1,ROUNDUP(Assumptions!$C$9/30,0)),I12*Assumptions!$C$25,0),IF(5=MAX(1,ROUNDUP(Assumptions!$C$9/30,0)),J12*Assumptions!$C$25,0),IF(4=MAX(1,ROUNDUP(Assumptions!$C$9/30,0)),K12*Assumptions!$C$25,0),IF(3=MAX(1,ROUNDUP(Assumptions!$C$9/30,0)),L12*Assumptions!$C$25,0),IF(2=MAX(1,ROUNDUP(Assumptions!$C$9/30,0)),M12*Assumptions!$C$25,0),IF(1=MAX(1,ROUNDUP(Assumptions!$C$9/30,0)),N12*Assumptions!$C$25,0),IF(0=MAX(1,ROUNDUP(Assumptions!$C$9/30,0)),O12*Assumptions!$C$25,0))</f>
        <v>0</v>
      </c>
      <c r="P19" s="7">
        <f>SUM(IF(13=MAX(1,ROUNDUP(Assumptions!$C$9/30,0)),C12*Assumptions!$C$25,0),IF(12=MAX(1,ROUNDUP(Assumptions!$C$9/30,0)),D12*Assumptions!$C$25,0),IF(11=MAX(1,ROUNDUP(Assumptions!$C$9/30,0)),E12*Assumptions!$C$25,0),IF(10=MAX(1,ROUNDUP(Assumptions!$C$9/30,0)),F12*Assumptions!$C$25,0),IF(9=MAX(1,ROUNDUP(Assumptions!$C$9/30,0)),G12*Assumptions!$C$25,0),IF(8=MAX(1,ROUNDUP(Assumptions!$C$9/30,0)),H12*Assumptions!$C$25,0),IF(7=MAX(1,ROUNDUP(Assumptions!$C$9/30,0)),I12*Assumptions!$C$25,0),IF(6=MAX(1,ROUNDUP(Assumptions!$C$9/30,0)),J12*Assumptions!$C$25,0),IF(5=MAX(1,ROUNDUP(Assumptions!$C$9/30,0)),K12*Assumptions!$C$25,0),IF(4=MAX(1,ROUNDUP(Assumptions!$C$9/30,0)),L12*Assumptions!$C$25,0),IF(3=MAX(1,ROUNDUP(Assumptions!$C$9/30,0)),M12*Assumptions!$C$25,0),IF(2=MAX(1,ROUNDUP(Assumptions!$C$9/30,0)),N12*Assumptions!$C$25,0),IF(1=MAX(1,ROUNDUP(Assumptions!$C$9/30,0)),O12*Assumptions!$C$25,0),IF(0=MAX(1,ROUNDUP(Assumptions!$C$9/30,0)),P12*Assumptions!$C$25,0))</f>
        <v>0</v>
      </c>
      <c r="Q19" s="7">
        <f>SUM(IF(14=MAX(1,ROUNDUP(Assumptions!$C$9/30,0)),C12*Assumptions!$C$25,0),IF(13=MAX(1,ROUNDUP(Assumptions!$C$9/30,0)),D12*Assumptions!$C$25,0),IF(12=MAX(1,ROUNDUP(Assumptions!$C$9/30,0)),E12*Assumptions!$C$25,0),IF(11=MAX(1,ROUNDUP(Assumptions!$C$9/30,0)),F12*Assumptions!$C$25,0),IF(10=MAX(1,ROUNDUP(Assumptions!$C$9/30,0)),G12*Assumptions!$C$25,0),IF(9=MAX(1,ROUNDUP(Assumptions!$C$9/30,0)),H12*Assumptions!$C$25,0),IF(8=MAX(1,ROUNDUP(Assumptions!$C$9/30,0)),I12*Assumptions!$C$25,0),IF(7=MAX(1,ROUNDUP(Assumptions!$C$9/30,0)),J12*Assumptions!$C$25,0),IF(6=MAX(1,ROUNDUP(Assumptions!$C$9/30,0)),K12*Assumptions!$C$25,0),IF(5=MAX(1,ROUNDUP(Assumptions!$C$9/30,0)),L12*Assumptions!$C$25,0),IF(4=MAX(1,ROUNDUP(Assumptions!$C$9/30,0)),M12*Assumptions!$C$25,0),IF(3=MAX(1,ROUNDUP(Assumptions!$C$9/30,0)),N12*Assumptions!$C$25,0),IF(2=MAX(1,ROUNDUP(Assumptions!$C$9/30,0)),O12*Assumptions!$C$25,0),IF(1=MAX(1,ROUNDUP(Assumptions!$C$9/30,0)),P12*Assumptions!$C$25,0),IF(0=MAX(1,ROUNDUP(Assumptions!$C$9/30,0)),Q12*Assumptions!$C$25,0))</f>
        <v>0</v>
      </c>
      <c r="R19" s="7">
        <f>SUM(IF(15=MAX(1,ROUNDUP(Assumptions!$C$9/30,0)),C12*Assumptions!$C$25,0),IF(14=MAX(1,ROUNDUP(Assumptions!$C$9/30,0)),D12*Assumptions!$C$25,0),IF(13=MAX(1,ROUNDUP(Assumptions!$C$9/30,0)),E12*Assumptions!$C$25,0),IF(12=MAX(1,ROUNDUP(Assumptions!$C$9/30,0)),F12*Assumptions!$C$25,0),IF(11=MAX(1,ROUNDUP(Assumptions!$C$9/30,0)),G12*Assumptions!$C$25,0),IF(10=MAX(1,ROUNDUP(Assumptions!$C$9/30,0)),H12*Assumptions!$C$25,0),IF(9=MAX(1,ROUNDUP(Assumptions!$C$9/30,0)),I12*Assumptions!$C$25,0),IF(8=MAX(1,ROUNDUP(Assumptions!$C$9/30,0)),J12*Assumptions!$C$25,0),IF(7=MAX(1,ROUNDUP(Assumptions!$C$9/30,0)),K12*Assumptions!$C$25,0),IF(6=MAX(1,ROUNDUP(Assumptions!$C$9/30,0)),L12*Assumptions!$C$25,0),IF(5=MAX(1,ROUNDUP(Assumptions!$C$9/30,0)),M12*Assumptions!$C$25,0),IF(4=MAX(1,ROUNDUP(Assumptions!$C$9/30,0)),N12*Assumptions!$C$25,0),IF(3=MAX(1,ROUNDUP(Assumptions!$C$9/30,0)),O12*Assumptions!$C$25,0),IF(2=MAX(1,ROUNDUP(Assumptions!$C$9/30,0)),P12*Assumptions!$C$25,0),IF(1=MAX(1,ROUNDUP(Assumptions!$C$9/30,0)),Q12*Assumptions!$C$25,0),IF(0=MAX(1,ROUNDUP(Assumptions!$C$9/30,0)),R12*Assumptions!$C$25,0))</f>
        <v>0</v>
      </c>
      <c r="S19" s="7">
        <f>SUM(IF(16=MAX(1,ROUNDUP(Assumptions!$C$9/30,0)),C12*Assumptions!$C$25,0),IF(15=MAX(1,ROUNDUP(Assumptions!$C$9/30,0)),D12*Assumptions!$C$25,0),IF(14=MAX(1,ROUNDUP(Assumptions!$C$9/30,0)),E12*Assumptions!$C$25,0),IF(13=MAX(1,ROUNDUP(Assumptions!$C$9/30,0)),F12*Assumptions!$C$25,0),IF(12=MAX(1,ROUNDUP(Assumptions!$C$9/30,0)),G12*Assumptions!$C$25,0),IF(11=MAX(1,ROUNDUP(Assumptions!$C$9/30,0)),H12*Assumptions!$C$25,0),IF(10=MAX(1,ROUNDUP(Assumptions!$C$9/30,0)),I12*Assumptions!$C$25,0),IF(9=MAX(1,ROUNDUP(Assumptions!$C$9/30,0)),J12*Assumptions!$C$25,0),IF(8=MAX(1,ROUNDUP(Assumptions!$C$9/30,0)),K12*Assumptions!$C$25,0),IF(7=MAX(1,ROUNDUP(Assumptions!$C$9/30,0)),L12*Assumptions!$C$25,0),IF(6=MAX(1,ROUNDUP(Assumptions!$C$9/30,0)),M12*Assumptions!$C$25,0),IF(5=MAX(1,ROUNDUP(Assumptions!$C$9/30,0)),N12*Assumptions!$C$25,0),IF(4=MAX(1,ROUNDUP(Assumptions!$C$9/30,0)),O12*Assumptions!$C$25,0),IF(3=MAX(1,ROUNDUP(Assumptions!$C$9/30,0)),P12*Assumptions!$C$25,0),IF(2=MAX(1,ROUNDUP(Assumptions!$C$9/30,0)),Q12*Assumptions!$C$25,0),IF(1=MAX(1,ROUNDUP(Assumptions!$C$9/30,0)),R12*Assumptions!$C$25,0),IF(0=MAX(1,ROUNDUP(Assumptions!$C$9/30,0)),S12*Assumptions!$C$25,0))</f>
        <v>0</v>
      </c>
      <c r="T19" s="7">
        <f>SUM(IF(17=MAX(1,ROUNDUP(Assumptions!$C$9/30,0)),C12*Assumptions!$C$25,0),IF(16=MAX(1,ROUNDUP(Assumptions!$C$9/30,0)),D12*Assumptions!$C$25,0),IF(15=MAX(1,ROUNDUP(Assumptions!$C$9/30,0)),E12*Assumptions!$C$25,0),IF(14=MAX(1,ROUNDUP(Assumptions!$C$9/30,0)),F12*Assumptions!$C$25,0),IF(13=MAX(1,ROUNDUP(Assumptions!$C$9/30,0)),G12*Assumptions!$C$25,0),IF(12=MAX(1,ROUNDUP(Assumptions!$C$9/30,0)),H12*Assumptions!$C$25,0),IF(11=MAX(1,ROUNDUP(Assumptions!$C$9/30,0)),I12*Assumptions!$C$25,0),IF(10=MAX(1,ROUNDUP(Assumptions!$C$9/30,0)),J12*Assumptions!$C$25,0),IF(9=MAX(1,ROUNDUP(Assumptions!$C$9/30,0)),K12*Assumptions!$C$25,0),IF(8=MAX(1,ROUNDUP(Assumptions!$C$9/30,0)),L12*Assumptions!$C$25,0),IF(7=MAX(1,ROUNDUP(Assumptions!$C$9/30,0)),M12*Assumptions!$C$25,0),IF(6=MAX(1,ROUNDUP(Assumptions!$C$9/30,0)),N12*Assumptions!$C$25,0),IF(5=MAX(1,ROUNDUP(Assumptions!$C$9/30,0)),O12*Assumptions!$C$25,0),IF(4=MAX(1,ROUNDUP(Assumptions!$C$9/30,0)),P12*Assumptions!$C$25,0),IF(3=MAX(1,ROUNDUP(Assumptions!$C$9/30,0)),Q12*Assumptions!$C$25,0),IF(2=MAX(1,ROUNDUP(Assumptions!$C$9/30,0)),R12*Assumptions!$C$25,0),IF(1=MAX(1,ROUNDUP(Assumptions!$C$9/30,0)),S12*Assumptions!$C$25,0),IF(0=MAX(1,ROUNDUP(Assumptions!$C$9/30,0)),T12*Assumptions!$C$25,0))</f>
        <v>0</v>
      </c>
      <c r="U19" s="7">
        <f>SUM(IF(18=MAX(1,ROUNDUP(Assumptions!$C$9/30,0)),C12*Assumptions!$C$25,0),IF(17=MAX(1,ROUNDUP(Assumptions!$C$9/30,0)),D12*Assumptions!$C$25,0),IF(16=MAX(1,ROUNDUP(Assumptions!$C$9/30,0)),E12*Assumptions!$C$25,0),IF(15=MAX(1,ROUNDUP(Assumptions!$C$9/30,0)),F12*Assumptions!$C$25,0),IF(14=MAX(1,ROUNDUP(Assumptions!$C$9/30,0)),G12*Assumptions!$C$25,0),IF(13=MAX(1,ROUNDUP(Assumptions!$C$9/30,0)),H12*Assumptions!$C$25,0),IF(12=MAX(1,ROUNDUP(Assumptions!$C$9/30,0)),I12*Assumptions!$C$25,0),IF(11=MAX(1,ROUNDUP(Assumptions!$C$9/30,0)),J12*Assumptions!$C$25,0),IF(10=MAX(1,ROUNDUP(Assumptions!$C$9/30,0)),K12*Assumptions!$C$25,0),IF(9=MAX(1,ROUNDUP(Assumptions!$C$9/30,0)),L12*Assumptions!$C$25,0),IF(8=MAX(1,ROUNDUP(Assumptions!$C$9/30,0)),M12*Assumptions!$C$25,0),IF(7=MAX(1,ROUNDUP(Assumptions!$C$9/30,0)),N12*Assumptions!$C$25,0),IF(6=MAX(1,ROUNDUP(Assumptions!$C$9/30,0)),O12*Assumptions!$C$25,0),IF(5=MAX(1,ROUNDUP(Assumptions!$C$9/30,0)),P12*Assumptions!$C$25,0),IF(4=MAX(1,ROUNDUP(Assumptions!$C$9/30,0)),Q12*Assumptions!$C$25,0),IF(3=MAX(1,ROUNDUP(Assumptions!$C$9/30,0)),R12*Assumptions!$C$25,0),IF(2=MAX(1,ROUNDUP(Assumptions!$C$9/30,0)),S12*Assumptions!$C$25,0),IF(1=MAX(1,ROUNDUP(Assumptions!$C$9/30,0)),T12*Assumptions!$C$25,0),IF(0=MAX(1,ROUNDUP(Assumptions!$C$9/30,0)),U12*Assumptions!$C$25,0))</f>
        <v>0</v>
      </c>
      <c r="V19" s="7">
        <f>SUM(IF(19=MAX(1,ROUNDUP(Assumptions!$C$9/30,0)),C12*Assumptions!$C$25,0),IF(18=MAX(1,ROUNDUP(Assumptions!$C$9/30,0)),D12*Assumptions!$C$25,0),IF(17=MAX(1,ROUNDUP(Assumptions!$C$9/30,0)),E12*Assumptions!$C$25,0),IF(16=MAX(1,ROUNDUP(Assumptions!$C$9/30,0)),F12*Assumptions!$C$25,0),IF(15=MAX(1,ROUNDUP(Assumptions!$C$9/30,0)),G12*Assumptions!$C$25,0),IF(14=MAX(1,ROUNDUP(Assumptions!$C$9/30,0)),H12*Assumptions!$C$25,0),IF(13=MAX(1,ROUNDUP(Assumptions!$C$9/30,0)),I12*Assumptions!$C$25,0),IF(12=MAX(1,ROUNDUP(Assumptions!$C$9/30,0)),J12*Assumptions!$C$25,0),IF(11=MAX(1,ROUNDUP(Assumptions!$C$9/30,0)),K12*Assumptions!$C$25,0),IF(10=MAX(1,ROUNDUP(Assumptions!$C$9/30,0)),L12*Assumptions!$C$25,0),IF(9=MAX(1,ROUNDUP(Assumptions!$C$9/30,0)),M12*Assumptions!$C$25,0),IF(8=MAX(1,ROUNDUP(Assumptions!$C$9/30,0)),N12*Assumptions!$C$25,0),IF(7=MAX(1,ROUNDUP(Assumptions!$C$9/30,0)),O12*Assumptions!$C$25,0),IF(6=MAX(1,ROUNDUP(Assumptions!$C$9/30,0)),P12*Assumptions!$C$25,0),IF(5=MAX(1,ROUNDUP(Assumptions!$C$9/30,0)),Q12*Assumptions!$C$25,0),IF(4=MAX(1,ROUNDUP(Assumptions!$C$9/30,0)),R12*Assumptions!$C$25,0),IF(3=MAX(1,ROUNDUP(Assumptions!$C$9/30,0)),S12*Assumptions!$C$25,0),IF(2=MAX(1,ROUNDUP(Assumptions!$C$9/30,0)),T12*Assumptions!$C$25,0),IF(1=MAX(1,ROUNDUP(Assumptions!$C$9/30,0)),U12*Assumptions!$C$25,0),IF(0=MAX(1,ROUNDUP(Assumptions!$C$9/30,0)),V12*Assumptions!$C$25,0))</f>
        <v>0</v>
      </c>
      <c r="W19" s="7">
        <f>SUM(IF(20=MAX(1,ROUNDUP(Assumptions!$C$9/30,0)),C12*Assumptions!$C$25,0),IF(19=MAX(1,ROUNDUP(Assumptions!$C$9/30,0)),D12*Assumptions!$C$25,0),IF(18=MAX(1,ROUNDUP(Assumptions!$C$9/30,0)),E12*Assumptions!$C$25,0),IF(17=MAX(1,ROUNDUP(Assumptions!$C$9/30,0)),F12*Assumptions!$C$25,0),IF(16=MAX(1,ROUNDUP(Assumptions!$C$9/30,0)),G12*Assumptions!$C$25,0),IF(15=MAX(1,ROUNDUP(Assumptions!$C$9/30,0)),H12*Assumptions!$C$25,0),IF(14=MAX(1,ROUNDUP(Assumptions!$C$9/30,0)),I12*Assumptions!$C$25,0),IF(13=MAX(1,ROUNDUP(Assumptions!$C$9/30,0)),J12*Assumptions!$C$25,0),IF(12=MAX(1,ROUNDUP(Assumptions!$C$9/30,0)),K12*Assumptions!$C$25,0),IF(11=MAX(1,ROUNDUP(Assumptions!$C$9/30,0)),L12*Assumptions!$C$25,0),IF(10=MAX(1,ROUNDUP(Assumptions!$C$9/30,0)),M12*Assumptions!$C$25,0),IF(9=MAX(1,ROUNDUP(Assumptions!$C$9/30,0)),N12*Assumptions!$C$25,0),IF(8=MAX(1,ROUNDUP(Assumptions!$C$9/30,0)),O12*Assumptions!$C$25,0),IF(7=MAX(1,ROUNDUP(Assumptions!$C$9/30,0)),P12*Assumptions!$C$25,0),IF(6=MAX(1,ROUNDUP(Assumptions!$C$9/30,0)),Q12*Assumptions!$C$25,0),IF(5=MAX(1,ROUNDUP(Assumptions!$C$9/30,0)),R12*Assumptions!$C$25,0),IF(4=MAX(1,ROUNDUP(Assumptions!$C$9/30,0)),S12*Assumptions!$C$25,0),IF(3=MAX(1,ROUNDUP(Assumptions!$C$9/30,0)),T12*Assumptions!$C$25,0),IF(2=MAX(1,ROUNDUP(Assumptions!$C$9/30,0)),U12*Assumptions!$C$25,0),IF(1=MAX(1,ROUNDUP(Assumptions!$C$9/30,0)),V12*Assumptions!$C$25,0),IF(0=MAX(1,ROUNDUP(Assumptions!$C$9/30,0)),W12*Assumptions!$C$25,0))</f>
        <v>0</v>
      </c>
      <c r="X19" s="7">
        <f>SUM(IF(21=MAX(1,ROUNDUP(Assumptions!$C$9/30,0)),C12*Assumptions!$C$25,0),IF(20=MAX(1,ROUNDUP(Assumptions!$C$9/30,0)),D12*Assumptions!$C$25,0),IF(19=MAX(1,ROUNDUP(Assumptions!$C$9/30,0)),E12*Assumptions!$C$25,0),IF(18=MAX(1,ROUNDUP(Assumptions!$C$9/30,0)),F12*Assumptions!$C$25,0),IF(17=MAX(1,ROUNDUP(Assumptions!$C$9/30,0)),G12*Assumptions!$C$25,0),IF(16=MAX(1,ROUNDUP(Assumptions!$C$9/30,0)),H12*Assumptions!$C$25,0),IF(15=MAX(1,ROUNDUP(Assumptions!$C$9/30,0)),I12*Assumptions!$C$25,0),IF(14=MAX(1,ROUNDUP(Assumptions!$C$9/30,0)),J12*Assumptions!$C$25,0),IF(13=MAX(1,ROUNDUP(Assumptions!$C$9/30,0)),K12*Assumptions!$C$25,0),IF(12=MAX(1,ROUNDUP(Assumptions!$C$9/30,0)),L12*Assumptions!$C$25,0),IF(11=MAX(1,ROUNDUP(Assumptions!$C$9/30,0)),M12*Assumptions!$C$25,0),IF(10=MAX(1,ROUNDUP(Assumptions!$C$9/30,0)),N12*Assumptions!$C$25,0),IF(9=MAX(1,ROUNDUP(Assumptions!$C$9/30,0)),O12*Assumptions!$C$25,0),IF(8=MAX(1,ROUNDUP(Assumptions!$C$9/30,0)),P12*Assumptions!$C$25,0),IF(7=MAX(1,ROUNDUP(Assumptions!$C$9/30,0)),Q12*Assumptions!$C$25,0),IF(6=MAX(1,ROUNDUP(Assumptions!$C$9/30,0)),R12*Assumptions!$C$25,0),IF(5=MAX(1,ROUNDUP(Assumptions!$C$9/30,0)),S12*Assumptions!$C$25,0),IF(4=MAX(1,ROUNDUP(Assumptions!$C$9/30,0)),T12*Assumptions!$C$25,0),IF(3=MAX(1,ROUNDUP(Assumptions!$C$9/30,0)),U12*Assumptions!$C$25,0),IF(2=MAX(1,ROUNDUP(Assumptions!$C$9/30,0)),V12*Assumptions!$C$25,0),IF(1=MAX(1,ROUNDUP(Assumptions!$C$9/30,0)),W12*Assumptions!$C$25,0),IF(0=MAX(1,ROUNDUP(Assumptions!$C$9/30,0)),X12*Assumptions!$C$25,0))</f>
        <v>0</v>
      </c>
      <c r="Y19" s="7">
        <f>SUM(IF(22=MAX(1,ROUNDUP(Assumptions!$C$9/30,0)),C12*Assumptions!$C$25,0),IF(21=MAX(1,ROUNDUP(Assumptions!$C$9/30,0)),D12*Assumptions!$C$25,0),IF(20=MAX(1,ROUNDUP(Assumptions!$C$9/30,0)),E12*Assumptions!$C$25,0),IF(19=MAX(1,ROUNDUP(Assumptions!$C$9/30,0)),F12*Assumptions!$C$25,0),IF(18=MAX(1,ROUNDUP(Assumptions!$C$9/30,0)),G12*Assumptions!$C$25,0),IF(17=MAX(1,ROUNDUP(Assumptions!$C$9/30,0)),H12*Assumptions!$C$25,0),IF(16=MAX(1,ROUNDUP(Assumptions!$C$9/30,0)),I12*Assumptions!$C$25,0),IF(15=MAX(1,ROUNDUP(Assumptions!$C$9/30,0)),J12*Assumptions!$C$25,0),IF(14=MAX(1,ROUNDUP(Assumptions!$C$9/30,0)),K12*Assumptions!$C$25,0),IF(13=MAX(1,ROUNDUP(Assumptions!$C$9/30,0)),L12*Assumptions!$C$25,0),IF(12=MAX(1,ROUNDUP(Assumptions!$C$9/30,0)),M12*Assumptions!$C$25,0),IF(11=MAX(1,ROUNDUP(Assumptions!$C$9/30,0)),N12*Assumptions!$C$25,0),IF(10=MAX(1,ROUNDUP(Assumptions!$C$9/30,0)),O12*Assumptions!$C$25,0),IF(9=MAX(1,ROUNDUP(Assumptions!$C$9/30,0)),P12*Assumptions!$C$25,0),IF(8=MAX(1,ROUNDUP(Assumptions!$C$9/30,0)),Q12*Assumptions!$C$25,0),IF(7=MAX(1,ROUNDUP(Assumptions!$C$9/30,0)),R12*Assumptions!$C$25,0),IF(6=MAX(1,ROUNDUP(Assumptions!$C$9/30,0)),S12*Assumptions!$C$25,0),IF(5=MAX(1,ROUNDUP(Assumptions!$C$9/30,0)),T12*Assumptions!$C$25,0),IF(4=MAX(1,ROUNDUP(Assumptions!$C$9/30,0)),U12*Assumptions!$C$25,0),IF(3=MAX(1,ROUNDUP(Assumptions!$C$9/30,0)),V12*Assumptions!$C$25,0),IF(2=MAX(1,ROUNDUP(Assumptions!$C$9/30,0)),W12*Assumptions!$C$25,0),IF(1=MAX(1,ROUNDUP(Assumptions!$C$9/30,0)),X12*Assumptions!$C$25,0),IF(0=MAX(1,ROUNDUP(Assumptions!$C$9/30,0)),Y12*Assumptions!$C$25,0))</f>
        <v>0</v>
      </c>
      <c r="Z19" s="7">
        <f>SUM(IF(23=MAX(1,ROUNDUP(Assumptions!$C$9/30,0)),C12*Assumptions!$C$25,0),IF(22=MAX(1,ROUNDUP(Assumptions!$C$9/30,0)),D12*Assumptions!$C$25,0),IF(21=MAX(1,ROUNDUP(Assumptions!$C$9/30,0)),E12*Assumptions!$C$25,0),IF(20=MAX(1,ROUNDUP(Assumptions!$C$9/30,0)),F12*Assumptions!$C$25,0),IF(19=MAX(1,ROUNDUP(Assumptions!$C$9/30,0)),G12*Assumptions!$C$25,0),IF(18=MAX(1,ROUNDUP(Assumptions!$C$9/30,0)),H12*Assumptions!$C$25,0),IF(17=MAX(1,ROUNDUP(Assumptions!$C$9/30,0)),I12*Assumptions!$C$25,0),IF(16=MAX(1,ROUNDUP(Assumptions!$C$9/30,0)),J12*Assumptions!$C$25,0),IF(15=MAX(1,ROUNDUP(Assumptions!$C$9/30,0)),K12*Assumptions!$C$25,0),IF(14=MAX(1,ROUNDUP(Assumptions!$C$9/30,0)),L12*Assumptions!$C$25,0),IF(13=MAX(1,ROUNDUP(Assumptions!$C$9/30,0)),M12*Assumptions!$C$25,0),IF(12=MAX(1,ROUNDUP(Assumptions!$C$9/30,0)),N12*Assumptions!$C$25,0),IF(11=MAX(1,ROUNDUP(Assumptions!$C$9/30,0)),O12*Assumptions!$C$25,0),IF(10=MAX(1,ROUNDUP(Assumptions!$C$9/30,0)),P12*Assumptions!$C$25,0),IF(9=MAX(1,ROUNDUP(Assumptions!$C$9/30,0)),Q12*Assumptions!$C$25,0),IF(8=MAX(1,ROUNDUP(Assumptions!$C$9/30,0)),R12*Assumptions!$C$25,0),IF(7=MAX(1,ROUNDUP(Assumptions!$C$9/30,0)),S12*Assumptions!$C$25,0),IF(6=MAX(1,ROUNDUP(Assumptions!$C$9/30,0)),T12*Assumptions!$C$25,0),IF(5=MAX(1,ROUNDUP(Assumptions!$C$9/30,0)),U12*Assumptions!$C$25,0),IF(4=MAX(1,ROUNDUP(Assumptions!$C$9/30,0)),V12*Assumptions!$C$25,0),IF(3=MAX(1,ROUNDUP(Assumptions!$C$9/30,0)),W12*Assumptions!$C$25,0),IF(2=MAX(1,ROUNDUP(Assumptions!$C$9/30,0)),X12*Assumptions!$C$25,0),IF(1=MAX(1,ROUNDUP(Assumptions!$C$9/30,0)),Y12*Assumptions!$C$25,0),IF(0=MAX(1,ROUNDUP(Assumptions!$C$9/30,0)),Z12*Assumptions!$C$25,0))</f>
        <v>0</v>
      </c>
    </row>
    <row r="20" spans="1:26" ht="16.5" customHeight="1">
      <c r="A20" s="1" t="s">
        <v>288</v>
      </c>
      <c r="B20" s="1" t="s">
        <v>96</v>
      </c>
      <c r="C20" s="7">
        <f>IF(0=Assumptions!$C$12,$C$8*Assumptions!$C$26,0)</f>
        <v>0</v>
      </c>
      <c r="D20" s="7">
        <f>IF(1=Assumptions!$C$12,$C$8*Assumptions!$C$26,0)</f>
        <v>4.2</v>
      </c>
      <c r="E20" s="7">
        <f>IF(2=Assumptions!$C$12,$C$8*Assumptions!$C$26,0)</f>
        <v>0</v>
      </c>
      <c r="F20" s="7">
        <f>IF(3=Assumptions!$C$12,$C$8*Assumptions!$C$26,0)</f>
        <v>0</v>
      </c>
      <c r="G20" s="7">
        <f>IF(4=Assumptions!$C$12,$C$8*Assumptions!$C$26,0)</f>
        <v>0</v>
      </c>
      <c r="H20" s="7">
        <f>IF(5=Assumptions!$C$12,$C$8*Assumptions!$C$26,0)</f>
        <v>0</v>
      </c>
      <c r="I20" s="7">
        <f>IF(6=Assumptions!$C$12,$C$8*Assumptions!$C$26,0)</f>
        <v>0</v>
      </c>
      <c r="J20" s="7">
        <f>IF(7=Assumptions!$C$12,$C$8*Assumptions!$C$26,0)</f>
        <v>0</v>
      </c>
      <c r="K20" s="7">
        <f>IF(8=Assumptions!$C$12,$C$8*Assumptions!$C$26,0)</f>
        <v>0</v>
      </c>
      <c r="L20" s="7">
        <f>IF(9=Assumptions!$C$12,$C$8*Assumptions!$C$26,0)</f>
        <v>0</v>
      </c>
      <c r="M20" s="7">
        <f>IF(10=Assumptions!$C$12,$C$8*Assumptions!$C$26,0)</f>
        <v>0</v>
      </c>
      <c r="N20" s="7">
        <f>IF(11=Assumptions!$C$12,$C$8*Assumptions!$C$26,0)</f>
        <v>0</v>
      </c>
      <c r="O20" s="7">
        <f>IF(12=Assumptions!$C$12,$C$8*Assumptions!$C$26,0)</f>
        <v>0</v>
      </c>
      <c r="P20" s="7">
        <f>IF(13=Assumptions!$C$12,$C$8*Assumptions!$C$26,0)</f>
        <v>0</v>
      </c>
      <c r="Q20" s="7">
        <f>IF(14=Assumptions!$C$12,$C$8*Assumptions!$C$26,0)</f>
        <v>0</v>
      </c>
      <c r="R20" s="7">
        <f>IF(15=Assumptions!$C$12,$C$8*Assumptions!$C$26,0)</f>
        <v>0</v>
      </c>
      <c r="S20" s="7">
        <f>IF(16=Assumptions!$C$12,$C$8*Assumptions!$C$26,0)</f>
        <v>0</v>
      </c>
      <c r="T20" s="7">
        <f>IF(17=Assumptions!$C$12,$C$8*Assumptions!$C$26,0)</f>
        <v>0</v>
      </c>
      <c r="U20" s="7">
        <f>IF(18=Assumptions!$C$12,$C$8*Assumptions!$C$26,0)</f>
        <v>0</v>
      </c>
      <c r="V20" s="7">
        <f>IF(19=Assumptions!$C$12,$C$8*Assumptions!$C$26,0)</f>
        <v>0</v>
      </c>
      <c r="W20" s="7">
        <f>IF(20=Assumptions!$C$12,$C$8*Assumptions!$C$26,0)</f>
        <v>0</v>
      </c>
      <c r="X20" s="7">
        <f>IF(21=Assumptions!$C$12,$C$8*Assumptions!$C$26,0)</f>
        <v>0</v>
      </c>
      <c r="Y20" s="7">
        <f>IF(22=Assumptions!$C$12,$C$8*Assumptions!$C$26,0)</f>
        <v>0</v>
      </c>
      <c r="Z20" s="7">
        <f>IF(23=Assumptions!$C$12,$C$8*Assumptions!$C$26,0)</f>
        <v>0</v>
      </c>
    </row>
    <row r="21" spans="1:26" ht="16.5" customHeight="1">
      <c r="A21" s="10" t="s">
        <v>289</v>
      </c>
      <c r="B21" s="10" t="s">
        <v>96</v>
      </c>
      <c r="C21" s="29">
        <f t="shared" ref="C21:Z21" si="3">SUM(C18:C20)</f>
        <v>3</v>
      </c>
      <c r="D21" s="29">
        <f t="shared" si="3"/>
        <v>7.5705</v>
      </c>
      <c r="E21" s="29">
        <f t="shared" si="3"/>
        <v>3.326022</v>
      </c>
      <c r="F21" s="29">
        <f t="shared" si="3"/>
        <v>3.4728750000000006</v>
      </c>
      <c r="G21" s="29">
        <f t="shared" si="3"/>
        <v>3.6465187499999998</v>
      </c>
      <c r="H21" s="29">
        <f t="shared" si="3"/>
        <v>3.8288446875000002</v>
      </c>
      <c r="I21" s="29">
        <f t="shared" si="3"/>
        <v>4.0202869218749999</v>
      </c>
      <c r="J21" s="29">
        <f t="shared" si="3"/>
        <v>4.2213012679687507</v>
      </c>
      <c r="K21" s="29">
        <f t="shared" si="3"/>
        <v>4.4323663313671871</v>
      </c>
      <c r="L21" s="29">
        <f t="shared" si="3"/>
        <v>4.6539846479355473</v>
      </c>
      <c r="M21" s="29">
        <f t="shared" si="3"/>
        <v>4.8866838803323249</v>
      </c>
      <c r="N21" s="29">
        <f t="shared" si="3"/>
        <v>5.1310180743489413</v>
      </c>
      <c r="O21" s="29">
        <f t="shared" si="3"/>
        <v>5.3875689780663878</v>
      </c>
      <c r="P21" s="29">
        <f t="shared" si="3"/>
        <v>5.6569474269697073</v>
      </c>
      <c r="Q21" s="29">
        <f t="shared" si="3"/>
        <v>5.9397947983181911</v>
      </c>
      <c r="R21" s="29">
        <f t="shared" si="3"/>
        <v>6.2367845382341027</v>
      </c>
      <c r="S21" s="29">
        <f t="shared" si="3"/>
        <v>6.5486237651458072</v>
      </c>
      <c r="T21" s="29">
        <f t="shared" si="3"/>
        <v>6.8760549534030995</v>
      </c>
      <c r="U21" s="29">
        <f t="shared" si="3"/>
        <v>7.2198577010732539</v>
      </c>
      <c r="V21" s="29">
        <f t="shared" si="3"/>
        <v>7.5808505861269166</v>
      </c>
      <c r="W21" s="29">
        <f t="shared" si="3"/>
        <v>7.9598931154332622</v>
      </c>
      <c r="X21" s="29">
        <f t="shared" si="3"/>
        <v>8.3578877712049255</v>
      </c>
      <c r="Y21" s="29">
        <f t="shared" si="3"/>
        <v>8.7757821597651713</v>
      </c>
      <c r="Z21" s="29">
        <f t="shared" si="3"/>
        <v>9.2145712677534313</v>
      </c>
    </row>
    <row r="22" spans="1:26" ht="16.5" customHeight="1">
      <c r="A22" s="11" t="s">
        <v>290</v>
      </c>
      <c r="B22" s="1" t="s">
        <v>96</v>
      </c>
      <c r="C22" s="7">
        <f>0</f>
        <v>0</v>
      </c>
      <c r="D22" s="7">
        <f t="shared" ref="D22:Z22" si="4">C31</f>
        <v>1.2000000000000002</v>
      </c>
      <c r="E22" s="7">
        <f t="shared" si="4"/>
        <v>4.1514000000000006</v>
      </c>
      <c r="F22" s="7">
        <f t="shared" si="4"/>
        <v>5.2161192000000005</v>
      </c>
      <c r="G22" s="7">
        <f t="shared" si="4"/>
        <v>6.2714375712000017</v>
      </c>
      <c r="H22" s="7">
        <f t="shared" si="4"/>
        <v>7.3286730666432023</v>
      </c>
      <c r="I22" s="7">
        <f t="shared" si="4"/>
        <v>8.3911758653780382</v>
      </c>
      <c r="J22" s="7">
        <f t="shared" si="4"/>
        <v>9.4622553787438441</v>
      </c>
      <c r="K22" s="7">
        <f t="shared" si="4"/>
        <v>10.545191541691739</v>
      </c>
      <c r="L22" s="7">
        <f t="shared" si="4"/>
        <v>11.643245815570344</v>
      </c>
      <c r="M22" s="7">
        <f t="shared" si="4"/>
        <v>12.759671942548062</v>
      </c>
      <c r="N22" s="7">
        <f t="shared" si="4"/>
        <v>13.897726490357915</v>
      </c>
      <c r="O22" s="7">
        <f t="shared" si="4"/>
        <v>15.060679224714585</v>
      </c>
      <c r="P22" s="7">
        <f t="shared" si="4"/>
        <v>16.251823345559409</v>
      </c>
      <c r="Q22" s="7">
        <f t="shared" si="4"/>
        <v>17.474485622231491</v>
      </c>
      <c r="R22" s="7">
        <f t="shared" si="4"/>
        <v>18.732036461735952</v>
      </c>
      <c r="S22" s="7">
        <f t="shared" si="4"/>
        <v>20.027899943478495</v>
      </c>
      <c r="T22" s="7">
        <f t="shared" si="4"/>
        <v>21.365563853154196</v>
      </c>
      <c r="U22" s="7">
        <f t="shared" si="4"/>
        <v>22.748589747913567</v>
      </c>
      <c r="V22" s="7">
        <f t="shared" si="4"/>
        <v>24.180623084476402</v>
      </c>
      <c r="W22" s="7">
        <f t="shared" si="4"/>
        <v>25.665403441520681</v>
      </c>
      <c r="X22" s="7">
        <f t="shared" si="4"/>
        <v>27.206774867436664</v>
      </c>
      <c r="Y22" s="7">
        <f t="shared" si="4"/>
        <v>28.808696384402687</v>
      </c>
      <c r="Z22" s="7">
        <f t="shared" si="4"/>
        <v>30.475252679706983</v>
      </c>
    </row>
    <row r="23" spans="1:26" ht="16.5" customHeight="1">
      <c r="A23" s="1" t="s">
        <v>291</v>
      </c>
      <c r="B23" s="1" t="s">
        <v>96</v>
      </c>
      <c r="C23" s="7">
        <f>0</f>
        <v>0</v>
      </c>
      <c r="D23" s="7">
        <f t="shared" ref="D23:Z23" si="5">C32</f>
        <v>1.35</v>
      </c>
      <c r="E23" s="7">
        <f t="shared" si="5"/>
        <v>4.6703250000000001</v>
      </c>
      <c r="F23" s="7">
        <f t="shared" si="5"/>
        <v>5.8681340999999998</v>
      </c>
      <c r="G23" s="7">
        <f t="shared" si="5"/>
        <v>7.0553672675999994</v>
      </c>
      <c r="H23" s="7">
        <f t="shared" si="5"/>
        <v>8.2447571999735985</v>
      </c>
      <c r="I23" s="7">
        <f t="shared" si="5"/>
        <v>9.4400728485502885</v>
      </c>
      <c r="J23" s="7">
        <f t="shared" si="5"/>
        <v>10.64503730108682</v>
      </c>
      <c r="K23" s="7">
        <f t="shared" si="5"/>
        <v>11.863340484403201</v>
      </c>
      <c r="L23" s="7">
        <f t="shared" si="5"/>
        <v>13.098651542516629</v>
      </c>
      <c r="M23" s="7">
        <f t="shared" si="5"/>
        <v>14.354630935366561</v>
      </c>
      <c r="N23" s="7">
        <f t="shared" si="5"/>
        <v>15.634942301652647</v>
      </c>
      <c r="O23" s="7">
        <f t="shared" si="5"/>
        <v>16.9432641278039</v>
      </c>
      <c r="P23" s="7">
        <f t="shared" si="5"/>
        <v>18.283301263754325</v>
      </c>
      <c r="Q23" s="7">
        <f t="shared" si="5"/>
        <v>19.658796325010417</v>
      </c>
      <c r="R23" s="7">
        <f t="shared" si="5"/>
        <v>21.073541019452936</v>
      </c>
      <c r="S23" s="7">
        <f t="shared" si="5"/>
        <v>22.531387436413297</v>
      </c>
      <c r="T23" s="7">
        <f t="shared" si="5"/>
        <v>24.036259334798459</v>
      </c>
      <c r="U23" s="7">
        <f t="shared" si="5"/>
        <v>25.592163466402752</v>
      </c>
      <c r="V23" s="7">
        <f t="shared" si="5"/>
        <v>27.20320097003594</v>
      </c>
      <c r="W23" s="7">
        <f t="shared" si="5"/>
        <v>28.873578871710755</v>
      </c>
      <c r="X23" s="7">
        <f t="shared" si="5"/>
        <v>30.607621725866235</v>
      </c>
      <c r="Y23" s="7">
        <f t="shared" si="5"/>
        <v>32.409783432453011</v>
      </c>
      <c r="Z23" s="7">
        <f t="shared" si="5"/>
        <v>34.284659264670346</v>
      </c>
    </row>
    <row r="24" spans="1:26" ht="16.5" customHeight="1">
      <c r="A24" s="11" t="s">
        <v>292</v>
      </c>
      <c r="B24" s="1" t="s">
        <v>96</v>
      </c>
      <c r="C24" s="7">
        <f>0</f>
        <v>0</v>
      </c>
      <c r="D24" s="7">
        <f t="shared" ref="D24:Z24" si="6">C33</f>
        <v>0.44999999999999996</v>
      </c>
      <c r="E24" s="7">
        <f t="shared" si="6"/>
        <v>1.556775</v>
      </c>
      <c r="F24" s="7">
        <f t="shared" si="6"/>
        <v>1.9560447000000001</v>
      </c>
      <c r="G24" s="7">
        <f t="shared" si="6"/>
        <v>2.3517890892000004</v>
      </c>
      <c r="H24" s="7">
        <f t="shared" si="6"/>
        <v>2.7482523999912001</v>
      </c>
      <c r="I24" s="7">
        <f t="shared" si="6"/>
        <v>3.1466909495167634</v>
      </c>
      <c r="J24" s="7">
        <f t="shared" si="6"/>
        <v>3.5483457670289402</v>
      </c>
      <c r="K24" s="7">
        <f t="shared" si="6"/>
        <v>3.9544468281344005</v>
      </c>
      <c r="L24" s="7">
        <f t="shared" si="6"/>
        <v>4.366217180838877</v>
      </c>
      <c r="M24" s="7">
        <f t="shared" si="6"/>
        <v>4.7848769784555207</v>
      </c>
      <c r="N24" s="7">
        <f t="shared" si="6"/>
        <v>5.2116474338842167</v>
      </c>
      <c r="O24" s="7">
        <f t="shared" si="6"/>
        <v>5.6477547092679679</v>
      </c>
      <c r="P24" s="7">
        <f t="shared" si="6"/>
        <v>6.0944337545847755</v>
      </c>
      <c r="Q24" s="7">
        <f t="shared" si="6"/>
        <v>6.5529321083368055</v>
      </c>
      <c r="R24" s="7">
        <f t="shared" si="6"/>
        <v>7.0245136731509783</v>
      </c>
      <c r="S24" s="7">
        <f t="shared" si="6"/>
        <v>7.5104624788044312</v>
      </c>
      <c r="T24" s="7">
        <f t="shared" si="6"/>
        <v>8.0120864449328177</v>
      </c>
      <c r="U24" s="7">
        <f t="shared" si="6"/>
        <v>8.5307211554675817</v>
      </c>
      <c r="V24" s="7">
        <f t="shared" si="6"/>
        <v>9.0677336566786444</v>
      </c>
      <c r="W24" s="7">
        <f t="shared" si="6"/>
        <v>9.6245262905702482</v>
      </c>
      <c r="X24" s="7">
        <f t="shared" si="6"/>
        <v>10.20254057528874</v>
      </c>
      <c r="Y24" s="7">
        <f t="shared" si="6"/>
        <v>10.803261144151</v>
      </c>
      <c r="Z24" s="7">
        <f t="shared" si="6"/>
        <v>11.428219754890112</v>
      </c>
    </row>
    <row r="25" spans="1:26" ht="16.5" customHeight="1">
      <c r="A25" s="11" t="s">
        <v>293</v>
      </c>
      <c r="B25" s="1" t="s">
        <v>96</v>
      </c>
      <c r="C25" s="7">
        <f>C22*Assumptions!$C$28</f>
        <v>0</v>
      </c>
      <c r="D25" s="7">
        <f>D22*Assumptions!$C$28</f>
        <v>7.6800000000000007E-2</v>
      </c>
      <c r="E25" s="7">
        <f>E22*Assumptions!$C$28</f>
        <v>0.26568960000000003</v>
      </c>
      <c r="F25" s="7">
        <f>F22*Assumptions!$C$28</f>
        <v>0.33383162880000006</v>
      </c>
      <c r="G25" s="7">
        <f>G22*Assumptions!$C$28</f>
        <v>0.40137200455680011</v>
      </c>
      <c r="H25" s="7">
        <f>H22*Assumptions!$C$28</f>
        <v>0.46903507626516494</v>
      </c>
      <c r="I25" s="7">
        <f>I22*Assumptions!$C$28</f>
        <v>0.5370352553841945</v>
      </c>
      <c r="J25" s="7">
        <f>J22*Assumptions!$C$28</f>
        <v>0.60558434423960605</v>
      </c>
      <c r="K25" s="7">
        <f>K22*Assumptions!$C$28</f>
        <v>0.67489225866827129</v>
      </c>
      <c r="L25" s="7">
        <f>L22*Assumptions!$C$28</f>
        <v>0.74516773219650201</v>
      </c>
      <c r="M25" s="7">
        <f>M22*Assumptions!$C$28</f>
        <v>0.81661900432307599</v>
      </c>
      <c r="N25" s="7">
        <f>N22*Assumptions!$C$28</f>
        <v>0.88945449538290655</v>
      </c>
      <c r="O25" s="7">
        <f>O22*Assumptions!$C$28</f>
        <v>0.9638834703817335</v>
      </c>
      <c r="P25" s="7">
        <f>P22*Assumptions!$C$28</f>
        <v>1.0401166941158022</v>
      </c>
      <c r="Q25" s="7">
        <f>Q22*Assumptions!$C$28</f>
        <v>1.1183670798228154</v>
      </c>
      <c r="R25" s="7">
        <f>R22*Assumptions!$C$28</f>
        <v>1.1988503335511009</v>
      </c>
      <c r="S25" s="7">
        <f>S22*Assumptions!$C$28</f>
        <v>1.2817855963826237</v>
      </c>
      <c r="T25" s="7">
        <f>T22*Assumptions!$C$28</f>
        <v>1.3673960866018686</v>
      </c>
      <c r="U25" s="7">
        <f>U22*Assumptions!$C$28</f>
        <v>1.4559097438664683</v>
      </c>
      <c r="V25" s="7">
        <f>V22*Assumptions!$C$28</f>
        <v>1.5475598774064898</v>
      </c>
      <c r="W25" s="7">
        <f>W22*Assumptions!$C$28</f>
        <v>1.6425858202573236</v>
      </c>
      <c r="X25" s="7">
        <f>X22*Assumptions!$C$28</f>
        <v>1.7412335915159465</v>
      </c>
      <c r="Y25" s="7">
        <f>Y22*Assumptions!$C$28</f>
        <v>1.8437565686017721</v>
      </c>
      <c r="Z25" s="7">
        <f>Z22*Assumptions!$C$28</f>
        <v>1.9504161715012469</v>
      </c>
    </row>
    <row r="26" spans="1:26" ht="16.5" customHeight="1">
      <c r="A26" s="1" t="s">
        <v>294</v>
      </c>
      <c r="B26" s="1" t="s">
        <v>96</v>
      </c>
      <c r="C26" s="7">
        <f>C23*Assumptions!$C$29</f>
        <v>0</v>
      </c>
      <c r="D26" s="7">
        <f>D23*Assumptions!$C$29</f>
        <v>8.6400000000000005E-2</v>
      </c>
      <c r="E26" s="7">
        <f>E23*Assumptions!$C$29</f>
        <v>0.29890080000000002</v>
      </c>
      <c r="F26" s="7">
        <f>F23*Assumptions!$C$29</f>
        <v>0.37556058240000001</v>
      </c>
      <c r="G26" s="7">
        <f>G23*Assumptions!$C$29</f>
        <v>0.45154350512639996</v>
      </c>
      <c r="H26" s="7">
        <f>H23*Assumptions!$C$29</f>
        <v>0.52766446079831031</v>
      </c>
      <c r="I26" s="7">
        <f>I23*Assumptions!$C$29</f>
        <v>0.60416466230721844</v>
      </c>
      <c r="J26" s="7">
        <f>J23*Assumptions!$C$29</f>
        <v>0.68128238726955648</v>
      </c>
      <c r="K26" s="7">
        <f>K23*Assumptions!$C$29</f>
        <v>0.7592537910018049</v>
      </c>
      <c r="L26" s="7">
        <f>L23*Assumptions!$C$29</f>
        <v>0.83831369872106432</v>
      </c>
      <c r="M26" s="7">
        <f>M23*Assumptions!$C$29</f>
        <v>0.91869637986345998</v>
      </c>
      <c r="N26" s="7">
        <f>N23*Assumptions!$C$29</f>
        <v>1.0006363073057694</v>
      </c>
      <c r="O26" s="7">
        <f>O23*Assumptions!$C$29</f>
        <v>1.0843689041794495</v>
      </c>
      <c r="P26" s="7">
        <f>P23*Assumptions!$C$29</f>
        <v>1.1701312808802768</v>
      </c>
      <c r="Q26" s="7">
        <f>Q23*Assumptions!$C$29</f>
        <v>1.2581629648006667</v>
      </c>
      <c r="R26" s="7">
        <f>R23*Assumptions!$C$29</f>
        <v>1.348706625244988</v>
      </c>
      <c r="S26" s="7">
        <f>S23*Assumptions!$C$29</f>
        <v>1.4420087959304511</v>
      </c>
      <c r="T26" s="7">
        <f>T23*Assumptions!$C$29</f>
        <v>1.5383205974271015</v>
      </c>
      <c r="U26" s="7">
        <f>U23*Assumptions!$C$29</f>
        <v>1.6378984618497763</v>
      </c>
      <c r="V26" s="7">
        <f>V23*Assumptions!$C$29</f>
        <v>1.7410048620823002</v>
      </c>
      <c r="W26" s="7">
        <f>W23*Assumptions!$C$29</f>
        <v>1.8479090477894884</v>
      </c>
      <c r="X26" s="7">
        <f>X23*Assumptions!$C$29</f>
        <v>1.9588877904554391</v>
      </c>
      <c r="Y26" s="7">
        <f>Y23*Assumptions!$C$29</f>
        <v>2.0742261396769925</v>
      </c>
      <c r="Z26" s="7">
        <f>Z23*Assumptions!$C$29</f>
        <v>2.194218192938902</v>
      </c>
    </row>
    <row r="27" spans="1:26" ht="16.5" customHeight="1">
      <c r="A27" s="11" t="s">
        <v>295</v>
      </c>
      <c r="B27" s="1" t="s">
        <v>96</v>
      </c>
      <c r="C27" s="7">
        <f>C24*Assumptions!$C$30</f>
        <v>0</v>
      </c>
      <c r="D27" s="7">
        <f>D24*Assumptions!$C$30</f>
        <v>2.8799999999999999E-2</v>
      </c>
      <c r="E27" s="7">
        <f>E24*Assumptions!$C$30</f>
        <v>9.9633600000000003E-2</v>
      </c>
      <c r="F27" s="7">
        <f>F24*Assumptions!$C$30</f>
        <v>0.12518686080000002</v>
      </c>
      <c r="G27" s="7">
        <f>G24*Assumptions!$C$30</f>
        <v>0.15051450170880004</v>
      </c>
      <c r="H27" s="7">
        <f>H24*Assumptions!$C$30</f>
        <v>0.1758881535994368</v>
      </c>
      <c r="I27" s="7">
        <f>I24*Assumptions!$C$30</f>
        <v>0.20138822076907287</v>
      </c>
      <c r="J27" s="7">
        <f>J24*Assumptions!$C$30</f>
        <v>0.22709412908985219</v>
      </c>
      <c r="K27" s="7">
        <f>K24*Assumptions!$C$30</f>
        <v>0.25308459700060165</v>
      </c>
      <c r="L27" s="7">
        <f>L24*Assumptions!$C$30</f>
        <v>0.27943789957368814</v>
      </c>
      <c r="M27" s="7">
        <f>M24*Assumptions!$C$30</f>
        <v>0.30623212662115334</v>
      </c>
      <c r="N27" s="7">
        <f>N24*Assumptions!$C$30</f>
        <v>0.33354543576858986</v>
      </c>
      <c r="O27" s="7">
        <f>O24*Assumptions!$C$30</f>
        <v>0.36145630139314994</v>
      </c>
      <c r="P27" s="7">
        <f>P24*Assumptions!$C$30</f>
        <v>0.39004376029342563</v>
      </c>
      <c r="Q27" s="7">
        <f>Q24*Assumptions!$C$30</f>
        <v>0.41938765493355556</v>
      </c>
      <c r="R27" s="7">
        <f>R24*Assumptions!$C$30</f>
        <v>0.4495688750816626</v>
      </c>
      <c r="S27" s="7">
        <f>S24*Assumptions!$C$30</f>
        <v>0.48066959864348363</v>
      </c>
      <c r="T27" s="7">
        <f>T24*Assumptions!$C$30</f>
        <v>0.51277353247570034</v>
      </c>
      <c r="U27" s="7">
        <f>U24*Assumptions!$C$30</f>
        <v>0.5459661539499252</v>
      </c>
      <c r="V27" s="7">
        <f>V24*Assumptions!$C$30</f>
        <v>0.58033495402743329</v>
      </c>
      <c r="W27" s="7">
        <f>W24*Assumptions!$C$30</f>
        <v>0.61596968259649587</v>
      </c>
      <c r="X27" s="7">
        <f>X24*Assumptions!$C$30</f>
        <v>0.65296259681847935</v>
      </c>
      <c r="Y27" s="7">
        <f>Y24*Assumptions!$C$30</f>
        <v>0.691408713225664</v>
      </c>
      <c r="Z27" s="7">
        <f>Z24*Assumptions!$C$30</f>
        <v>0.73140606431296717</v>
      </c>
    </row>
    <row r="28" spans="1:26" ht="16.5" customHeight="1">
      <c r="A28" s="11" t="s">
        <v>296</v>
      </c>
      <c r="B28" s="1" t="s">
        <v>96</v>
      </c>
      <c r="C28" s="7">
        <f>C21*Assumptions!$C$33</f>
        <v>1.2000000000000002</v>
      </c>
      <c r="D28" s="7">
        <f>D21*Assumptions!$C$33</f>
        <v>3.0282</v>
      </c>
      <c r="E28" s="7">
        <f>E21*Assumptions!$C$33</f>
        <v>1.3304088000000001</v>
      </c>
      <c r="F28" s="7">
        <f>F21*Assumptions!$C$33</f>
        <v>1.3891500000000003</v>
      </c>
      <c r="G28" s="7">
        <f>G21*Assumptions!$C$33</f>
        <v>1.4586075000000001</v>
      </c>
      <c r="H28" s="7">
        <f>H21*Assumptions!$C$33</f>
        <v>1.5315378750000002</v>
      </c>
      <c r="I28" s="7">
        <f>I21*Assumptions!$C$33</f>
        <v>1.6081147687500001</v>
      </c>
      <c r="J28" s="7">
        <f>J21*Assumptions!$C$33</f>
        <v>1.6885205071875005</v>
      </c>
      <c r="K28" s="7">
        <f>K21*Assumptions!$C$33</f>
        <v>1.772946532546875</v>
      </c>
      <c r="L28" s="7">
        <f>L21*Assumptions!$C$33</f>
        <v>1.8615938591742189</v>
      </c>
      <c r="M28" s="7">
        <f>M21*Assumptions!$C$33</f>
        <v>1.9546735521329301</v>
      </c>
      <c r="N28" s="7">
        <f>N21*Assumptions!$C$33</f>
        <v>2.0524072297395768</v>
      </c>
      <c r="O28" s="7">
        <f>O21*Assumptions!$C$33</f>
        <v>2.1550275912265553</v>
      </c>
      <c r="P28" s="7">
        <f>P21*Assumptions!$C$33</f>
        <v>2.2627789707878829</v>
      </c>
      <c r="Q28" s="7">
        <f>Q21*Assumptions!$C$33</f>
        <v>2.3759179193272764</v>
      </c>
      <c r="R28" s="7">
        <f>R21*Assumptions!$C$33</f>
        <v>2.4947138152936414</v>
      </c>
      <c r="S28" s="7">
        <f>S21*Assumptions!$C$33</f>
        <v>2.6194495060583232</v>
      </c>
      <c r="T28" s="7">
        <f>T21*Assumptions!$C$33</f>
        <v>2.7504219813612401</v>
      </c>
      <c r="U28" s="7">
        <f>U21*Assumptions!$C$33</f>
        <v>2.8879430804293018</v>
      </c>
      <c r="V28" s="7">
        <f>V21*Assumptions!$C$33</f>
        <v>3.0323402344507668</v>
      </c>
      <c r="W28" s="7">
        <f>W21*Assumptions!$C$33</f>
        <v>3.1839572461733052</v>
      </c>
      <c r="X28" s="7">
        <f>X21*Assumptions!$C$33</f>
        <v>3.3431551084819704</v>
      </c>
      <c r="Y28" s="7">
        <f>Y21*Assumptions!$C$33</f>
        <v>3.5103128639060688</v>
      </c>
      <c r="Z28" s="7">
        <f>Z21*Assumptions!$C$33</f>
        <v>3.6858285071013728</v>
      </c>
    </row>
    <row r="29" spans="1:26" ht="16.5" customHeight="1">
      <c r="A29" s="1" t="s">
        <v>297</v>
      </c>
      <c r="B29" s="1" t="s">
        <v>96</v>
      </c>
      <c r="C29" s="7">
        <f>C21*Assumptions!$C$34</f>
        <v>1.35</v>
      </c>
      <c r="D29" s="7">
        <f>D21*Assumptions!$C$34</f>
        <v>3.4067250000000002</v>
      </c>
      <c r="E29" s="7">
        <f>E21*Assumptions!$C$34</f>
        <v>1.4967099000000001</v>
      </c>
      <c r="F29" s="7">
        <f>F21*Assumptions!$C$34</f>
        <v>1.5627937500000002</v>
      </c>
      <c r="G29" s="7">
        <f>G21*Assumptions!$C$34</f>
        <v>1.6409334375</v>
      </c>
      <c r="H29" s="7">
        <f>H21*Assumptions!$C$34</f>
        <v>1.7229801093750001</v>
      </c>
      <c r="I29" s="7">
        <f>I21*Assumptions!$C$34</f>
        <v>1.8091291148437501</v>
      </c>
      <c r="J29" s="7">
        <f>J21*Assumptions!$C$34</f>
        <v>1.8995855705859379</v>
      </c>
      <c r="K29" s="7">
        <f>K21*Assumptions!$C$34</f>
        <v>1.9945648491152341</v>
      </c>
      <c r="L29" s="7">
        <f>L21*Assumptions!$C$34</f>
        <v>2.0942930915709965</v>
      </c>
      <c r="M29" s="7">
        <f>M21*Assumptions!$C$34</f>
        <v>2.1990077461495461</v>
      </c>
      <c r="N29" s="7">
        <f>N21*Assumptions!$C$34</f>
        <v>2.3089581334570237</v>
      </c>
      <c r="O29" s="7">
        <f>O21*Assumptions!$C$34</f>
        <v>2.4244060401298744</v>
      </c>
      <c r="P29" s="7">
        <f>P21*Assumptions!$C$34</f>
        <v>2.5456263421363685</v>
      </c>
      <c r="Q29" s="7">
        <f>Q21*Assumptions!$C$34</f>
        <v>2.6729076592431862</v>
      </c>
      <c r="R29" s="7">
        <f>R21*Assumptions!$C$34</f>
        <v>2.8065530422053464</v>
      </c>
      <c r="S29" s="7">
        <f>S21*Assumptions!$C$34</f>
        <v>2.9468806943156132</v>
      </c>
      <c r="T29" s="7">
        <f>T21*Assumptions!$C$34</f>
        <v>3.0942247290313949</v>
      </c>
      <c r="U29" s="7">
        <f>U21*Assumptions!$C$34</f>
        <v>3.2489359654829641</v>
      </c>
      <c r="V29" s="7">
        <f>V21*Assumptions!$C$34</f>
        <v>3.4113827637571124</v>
      </c>
      <c r="W29" s="7">
        <f>W21*Assumptions!$C$34</f>
        <v>3.5819519019449682</v>
      </c>
      <c r="X29" s="7">
        <f>X21*Assumptions!$C$34</f>
        <v>3.7610494970422166</v>
      </c>
      <c r="Y29" s="7">
        <f>Y21*Assumptions!$C$34</f>
        <v>3.949101971894327</v>
      </c>
      <c r="Z29" s="7">
        <f>Z21*Assumptions!$C$34</f>
        <v>4.1465570704890444</v>
      </c>
    </row>
    <row r="30" spans="1:26" ht="16.5" customHeight="1">
      <c r="A30" s="11" t="s">
        <v>298</v>
      </c>
      <c r="B30" s="1" t="s">
        <v>96</v>
      </c>
      <c r="C30" s="7">
        <f>C21*Assumptions!$C$35</f>
        <v>0.44999999999999996</v>
      </c>
      <c r="D30" s="7">
        <f>D21*Assumptions!$C$35</f>
        <v>1.135575</v>
      </c>
      <c r="E30" s="7">
        <f>E21*Assumptions!$C$35</f>
        <v>0.49890329999999999</v>
      </c>
      <c r="F30" s="7">
        <f>F21*Assumptions!$C$35</f>
        <v>0.52093125000000007</v>
      </c>
      <c r="G30" s="7">
        <f>G21*Assumptions!$C$35</f>
        <v>0.54697781249999999</v>
      </c>
      <c r="H30" s="7">
        <f>H21*Assumptions!$C$35</f>
        <v>0.574326703125</v>
      </c>
      <c r="I30" s="7">
        <f>I21*Assumptions!$C$35</f>
        <v>0.60304303828124994</v>
      </c>
      <c r="J30" s="7">
        <f>J21*Assumptions!$C$35</f>
        <v>0.63319519019531256</v>
      </c>
      <c r="K30" s="7">
        <f>K21*Assumptions!$C$35</f>
        <v>0.66485494970507808</v>
      </c>
      <c r="L30" s="7">
        <f>L21*Assumptions!$C$35</f>
        <v>0.6980976971903321</v>
      </c>
      <c r="M30" s="7">
        <f>M21*Assumptions!$C$35</f>
        <v>0.73300258204984869</v>
      </c>
      <c r="N30" s="7">
        <f>N21*Assumptions!$C$35</f>
        <v>0.76965271115234113</v>
      </c>
      <c r="O30" s="7">
        <f>O21*Assumptions!$C$35</f>
        <v>0.80813534670995812</v>
      </c>
      <c r="P30" s="7">
        <f>P21*Assumptions!$C$35</f>
        <v>0.8485421140454561</v>
      </c>
      <c r="Q30" s="7">
        <f>Q21*Assumptions!$C$35</f>
        <v>0.89096921974772869</v>
      </c>
      <c r="R30" s="7">
        <f>R21*Assumptions!$C$35</f>
        <v>0.93551768073511532</v>
      </c>
      <c r="S30" s="7">
        <f>S21*Assumptions!$C$35</f>
        <v>0.98229356477187102</v>
      </c>
      <c r="T30" s="7">
        <f>T21*Assumptions!$C$35</f>
        <v>1.031408243010465</v>
      </c>
      <c r="U30" s="7">
        <f>U21*Assumptions!$C$35</f>
        <v>1.0829786551609881</v>
      </c>
      <c r="V30" s="7">
        <f>V21*Assumptions!$C$35</f>
        <v>1.1371275879190375</v>
      </c>
      <c r="W30" s="7">
        <f>W21*Assumptions!$C$35</f>
        <v>1.1939839673149892</v>
      </c>
      <c r="X30" s="7">
        <f>X21*Assumptions!$C$35</f>
        <v>1.2536831656807388</v>
      </c>
      <c r="Y30" s="7">
        <f>Y21*Assumptions!$C$35</f>
        <v>1.3163673239647757</v>
      </c>
      <c r="Z30" s="7">
        <f>Z21*Assumptions!$C$35</f>
        <v>1.3821856901630147</v>
      </c>
    </row>
    <row r="31" spans="1:26" ht="16.5" customHeight="1">
      <c r="A31" s="11" t="s">
        <v>299</v>
      </c>
      <c r="B31" s="1" t="s">
        <v>96</v>
      </c>
      <c r="C31" s="7">
        <f t="shared" ref="C31:Z31" si="7">C22-C25+C28</f>
        <v>1.2000000000000002</v>
      </c>
      <c r="D31" s="7">
        <f t="shared" si="7"/>
        <v>4.1514000000000006</v>
      </c>
      <c r="E31" s="7">
        <f t="shared" si="7"/>
        <v>5.2161192000000005</v>
      </c>
      <c r="F31" s="7">
        <f t="shared" si="7"/>
        <v>6.2714375712000017</v>
      </c>
      <c r="G31" s="7">
        <f t="shared" si="7"/>
        <v>7.3286730666432023</v>
      </c>
      <c r="H31" s="7">
        <f t="shared" si="7"/>
        <v>8.3911758653780382</v>
      </c>
      <c r="I31" s="7">
        <f t="shared" si="7"/>
        <v>9.4622553787438441</v>
      </c>
      <c r="J31" s="7">
        <f t="shared" si="7"/>
        <v>10.545191541691739</v>
      </c>
      <c r="K31" s="7">
        <f t="shared" si="7"/>
        <v>11.643245815570344</v>
      </c>
      <c r="L31" s="7">
        <f t="shared" si="7"/>
        <v>12.759671942548062</v>
      </c>
      <c r="M31" s="7">
        <f t="shared" si="7"/>
        <v>13.897726490357915</v>
      </c>
      <c r="N31" s="7">
        <f t="shared" si="7"/>
        <v>15.060679224714585</v>
      </c>
      <c r="O31" s="7">
        <f t="shared" si="7"/>
        <v>16.251823345559409</v>
      </c>
      <c r="P31" s="7">
        <f t="shared" si="7"/>
        <v>17.474485622231491</v>
      </c>
      <c r="Q31" s="7">
        <f t="shared" si="7"/>
        <v>18.732036461735952</v>
      </c>
      <c r="R31" s="7">
        <f t="shared" si="7"/>
        <v>20.027899943478495</v>
      </c>
      <c r="S31" s="7">
        <f t="shared" si="7"/>
        <v>21.365563853154196</v>
      </c>
      <c r="T31" s="7">
        <f t="shared" si="7"/>
        <v>22.748589747913567</v>
      </c>
      <c r="U31" s="7">
        <f t="shared" si="7"/>
        <v>24.180623084476402</v>
      </c>
      <c r="V31" s="7">
        <f t="shared" si="7"/>
        <v>25.665403441520681</v>
      </c>
      <c r="W31" s="7">
        <f t="shared" si="7"/>
        <v>27.206774867436664</v>
      </c>
      <c r="X31" s="7">
        <f t="shared" si="7"/>
        <v>28.808696384402687</v>
      </c>
      <c r="Y31" s="7">
        <f t="shared" si="7"/>
        <v>30.475252679706983</v>
      </c>
      <c r="Z31" s="7">
        <f t="shared" si="7"/>
        <v>32.210665015307107</v>
      </c>
    </row>
    <row r="32" spans="1:26" ht="16.5" customHeight="1">
      <c r="A32" s="1" t="s">
        <v>300</v>
      </c>
      <c r="B32" s="1" t="s">
        <v>96</v>
      </c>
      <c r="C32" s="7">
        <f t="shared" ref="C32:Z32" si="8">C23-C26+C29</f>
        <v>1.35</v>
      </c>
      <c r="D32" s="7">
        <f t="shared" si="8"/>
        <v>4.6703250000000001</v>
      </c>
      <c r="E32" s="7">
        <f t="shared" si="8"/>
        <v>5.8681340999999998</v>
      </c>
      <c r="F32" s="7">
        <f t="shared" si="8"/>
        <v>7.0553672675999994</v>
      </c>
      <c r="G32" s="7">
        <f t="shared" si="8"/>
        <v>8.2447571999735985</v>
      </c>
      <c r="H32" s="7">
        <f t="shared" si="8"/>
        <v>9.4400728485502885</v>
      </c>
      <c r="I32" s="7">
        <f t="shared" si="8"/>
        <v>10.64503730108682</v>
      </c>
      <c r="J32" s="7">
        <f t="shared" si="8"/>
        <v>11.863340484403201</v>
      </c>
      <c r="K32" s="7">
        <f t="shared" si="8"/>
        <v>13.098651542516629</v>
      </c>
      <c r="L32" s="7">
        <f t="shared" si="8"/>
        <v>14.354630935366561</v>
      </c>
      <c r="M32" s="7">
        <f t="shared" si="8"/>
        <v>15.634942301652647</v>
      </c>
      <c r="N32" s="7">
        <f t="shared" si="8"/>
        <v>16.9432641278039</v>
      </c>
      <c r="O32" s="7">
        <f t="shared" si="8"/>
        <v>18.283301263754325</v>
      </c>
      <c r="P32" s="7">
        <f t="shared" si="8"/>
        <v>19.658796325010417</v>
      </c>
      <c r="Q32" s="7">
        <f t="shared" si="8"/>
        <v>21.073541019452936</v>
      </c>
      <c r="R32" s="7">
        <f t="shared" si="8"/>
        <v>22.531387436413297</v>
      </c>
      <c r="S32" s="7">
        <f t="shared" si="8"/>
        <v>24.036259334798459</v>
      </c>
      <c r="T32" s="7">
        <f t="shared" si="8"/>
        <v>25.592163466402752</v>
      </c>
      <c r="U32" s="7">
        <f t="shared" si="8"/>
        <v>27.20320097003594</v>
      </c>
      <c r="V32" s="7">
        <f t="shared" si="8"/>
        <v>28.873578871710755</v>
      </c>
      <c r="W32" s="7">
        <f t="shared" si="8"/>
        <v>30.607621725866235</v>
      </c>
      <c r="X32" s="7">
        <f t="shared" si="8"/>
        <v>32.409783432453011</v>
      </c>
      <c r="Y32" s="7">
        <f t="shared" si="8"/>
        <v>34.284659264670346</v>
      </c>
      <c r="Z32" s="7">
        <f t="shared" si="8"/>
        <v>36.236998142220486</v>
      </c>
    </row>
    <row r="33" spans="1:26" ht="16.5" customHeight="1">
      <c r="A33" s="11" t="s">
        <v>301</v>
      </c>
      <c r="B33" s="1" t="s">
        <v>96</v>
      </c>
      <c r="C33" s="7">
        <f t="shared" ref="C33:Z33" si="9">C24-C27+C30</f>
        <v>0.44999999999999996</v>
      </c>
      <c r="D33" s="7">
        <f t="shared" si="9"/>
        <v>1.556775</v>
      </c>
      <c r="E33" s="7">
        <f t="shared" si="9"/>
        <v>1.9560447000000001</v>
      </c>
      <c r="F33" s="7">
        <f t="shared" si="9"/>
        <v>2.3517890892000004</v>
      </c>
      <c r="G33" s="7">
        <f t="shared" si="9"/>
        <v>2.7482523999912001</v>
      </c>
      <c r="H33" s="7">
        <f t="shared" si="9"/>
        <v>3.1466909495167634</v>
      </c>
      <c r="I33" s="7">
        <f t="shared" si="9"/>
        <v>3.5483457670289402</v>
      </c>
      <c r="J33" s="7">
        <f t="shared" si="9"/>
        <v>3.9544468281344005</v>
      </c>
      <c r="K33" s="7">
        <f t="shared" si="9"/>
        <v>4.366217180838877</v>
      </c>
      <c r="L33" s="7">
        <f t="shared" si="9"/>
        <v>4.7848769784555207</v>
      </c>
      <c r="M33" s="7">
        <f t="shared" si="9"/>
        <v>5.2116474338842167</v>
      </c>
      <c r="N33" s="7">
        <f t="shared" si="9"/>
        <v>5.6477547092679679</v>
      </c>
      <c r="O33" s="7">
        <f t="shared" si="9"/>
        <v>6.0944337545847755</v>
      </c>
      <c r="P33" s="7">
        <f t="shared" si="9"/>
        <v>6.5529321083368055</v>
      </c>
      <c r="Q33" s="7">
        <f t="shared" si="9"/>
        <v>7.0245136731509783</v>
      </c>
      <c r="R33" s="7">
        <f t="shared" si="9"/>
        <v>7.5104624788044312</v>
      </c>
      <c r="S33" s="7">
        <f t="shared" si="9"/>
        <v>8.0120864449328177</v>
      </c>
      <c r="T33" s="7">
        <f t="shared" si="9"/>
        <v>8.5307211554675817</v>
      </c>
      <c r="U33" s="7">
        <f t="shared" si="9"/>
        <v>9.0677336566786444</v>
      </c>
      <c r="V33" s="7">
        <f t="shared" si="9"/>
        <v>9.6245262905702482</v>
      </c>
      <c r="W33" s="7">
        <f t="shared" si="9"/>
        <v>10.20254057528874</v>
      </c>
      <c r="X33" s="7">
        <f t="shared" si="9"/>
        <v>10.803261144151</v>
      </c>
      <c r="Y33" s="7">
        <f t="shared" si="9"/>
        <v>11.428219754890112</v>
      </c>
      <c r="Z33" s="7">
        <f t="shared" si="9"/>
        <v>12.078999380740159</v>
      </c>
    </row>
    <row r="34" spans="1:26" ht="16.5" customHeight="1">
      <c r="A34" s="10" t="s">
        <v>302</v>
      </c>
      <c r="B34" s="10" t="s">
        <v>96</v>
      </c>
      <c r="C34" s="29">
        <f t="shared" ref="C34:Z34" si="10">SUM(C31:C33)</f>
        <v>3</v>
      </c>
      <c r="D34" s="29">
        <f t="shared" si="10"/>
        <v>10.378500000000001</v>
      </c>
      <c r="E34" s="29">
        <f t="shared" si="10"/>
        <v>13.040298</v>
      </c>
      <c r="F34" s="29">
        <f t="shared" si="10"/>
        <v>15.678593928000002</v>
      </c>
      <c r="G34" s="29">
        <f t="shared" si="10"/>
        <v>18.321682666607998</v>
      </c>
      <c r="H34" s="29">
        <f t="shared" si="10"/>
        <v>20.977939663445088</v>
      </c>
      <c r="I34" s="29">
        <f t="shared" si="10"/>
        <v>23.655638446859605</v>
      </c>
      <c r="J34" s="29">
        <f t="shared" si="10"/>
        <v>26.36297885422934</v>
      </c>
      <c r="K34" s="29">
        <f t="shared" si="10"/>
        <v>29.10811453892585</v>
      </c>
      <c r="L34" s="29">
        <f t="shared" si="10"/>
        <v>31.899179856370147</v>
      </c>
      <c r="M34" s="29">
        <f t="shared" si="10"/>
        <v>34.744316225894778</v>
      </c>
      <c r="N34" s="29">
        <f t="shared" si="10"/>
        <v>37.651698061786448</v>
      </c>
      <c r="O34" s="29">
        <f t="shared" si="10"/>
        <v>40.629558363898511</v>
      </c>
      <c r="P34" s="29">
        <f t="shared" si="10"/>
        <v>43.686214055578716</v>
      </c>
      <c r="Q34" s="29">
        <f t="shared" si="10"/>
        <v>46.830091154339868</v>
      </c>
      <c r="R34" s="29">
        <f t="shared" si="10"/>
        <v>50.069749858696227</v>
      </c>
      <c r="S34" s="29">
        <f t="shared" si="10"/>
        <v>53.413909632885478</v>
      </c>
      <c r="T34" s="29">
        <f t="shared" si="10"/>
        <v>56.871474369783904</v>
      </c>
      <c r="U34" s="29">
        <f t="shared" si="10"/>
        <v>60.451557711190986</v>
      </c>
      <c r="V34" s="29">
        <f t="shared" si="10"/>
        <v>64.163508603801688</v>
      </c>
      <c r="W34" s="29">
        <f t="shared" si="10"/>
        <v>68.016937168591639</v>
      </c>
      <c r="X34" s="29">
        <f t="shared" si="10"/>
        <v>72.021740961006699</v>
      </c>
      <c r="Y34" s="29">
        <f t="shared" si="10"/>
        <v>76.188131699267444</v>
      </c>
      <c r="Z34" s="29">
        <f t="shared" si="10"/>
        <v>80.526662538267743</v>
      </c>
    </row>
    <row r="35" spans="1:26" ht="16.5" customHeight="1">
      <c r="A35" s="11" t="s">
        <v>303</v>
      </c>
      <c r="B35" s="1" t="s">
        <v>96</v>
      </c>
      <c r="C35" s="7">
        <f>0</f>
        <v>0</v>
      </c>
      <c r="D35" s="7">
        <f t="shared" ref="D35:Z35" si="11">C40</f>
        <v>21.878</v>
      </c>
      <c r="E35" s="7">
        <f t="shared" si="11"/>
        <v>40.215451999999999</v>
      </c>
      <c r="F35" s="7">
        <f t="shared" si="11"/>
        <v>47.148149599999996</v>
      </c>
      <c r="G35" s="7">
        <f t="shared" si="11"/>
        <v>52.933703441600002</v>
      </c>
      <c r="H35" s="7">
        <f t="shared" si="11"/>
        <v>58.018227662537598</v>
      </c>
      <c r="I35" s="7">
        <f t="shared" si="11"/>
        <v>62.661322233475204</v>
      </c>
      <c r="J35" s="7">
        <f t="shared" si="11"/>
        <v>67.047327895595799</v>
      </c>
      <c r="K35" s="7">
        <f t="shared" si="11"/>
        <v>71.308024970253015</v>
      </c>
      <c r="L35" s="7">
        <f t="shared" si="11"/>
        <v>75.538529217592384</v>
      </c>
      <c r="M35" s="7">
        <f t="shared" si="11"/>
        <v>79.808425923096806</v>
      </c>
      <c r="N35" s="7">
        <f t="shared" si="11"/>
        <v>84.169571054626587</v>
      </c>
      <c r="O35" s="7">
        <f t="shared" si="11"/>
        <v>88.661559697753134</v>
      </c>
      <c r="P35" s="7">
        <f t="shared" si="11"/>
        <v>93.315561933589692</v>
      </c>
      <c r="Q35" s="7">
        <f t="shared" si="11"/>
        <v>98.157016293594637</v>
      </c>
      <c r="R35" s="7">
        <f t="shared" si="11"/>
        <v>103.20752390585314</v>
      </c>
      <c r="S35" s="7">
        <f t="shared" si="11"/>
        <v>108.48618353425377</v>
      </c>
      <c r="T35" s="7">
        <f t="shared" si="11"/>
        <v>114.01053567375752</v>
      </c>
      <c r="U35" s="7">
        <f t="shared" si="11"/>
        <v>119.79723343919923</v>
      </c>
      <c r="V35" s="7">
        <f t="shared" si="11"/>
        <v>125.86252268808775</v>
      </c>
      <c r="W35" s="7">
        <f t="shared" si="11"/>
        <v>132.22258911110217</v>
      </c>
      <c r="X35" s="7">
        <f t="shared" si="11"/>
        <v>138.89381273041965</v>
      </c>
      <c r="Y35" s="7">
        <f t="shared" si="11"/>
        <v>145.89295814175864</v>
      </c>
      <c r="Z35" s="7">
        <f t="shared" si="11"/>
        <v>153.23732036435169</v>
      </c>
    </row>
    <row r="36" spans="1:26" ht="16.5" customHeight="1">
      <c r="A36" s="1" t="s">
        <v>455</v>
      </c>
      <c r="B36" s="1" t="s">
        <v>96</v>
      </c>
      <c r="C36" s="7">
        <f t="shared" ref="C36:Z36" si="12">C14-C15</f>
        <v>21.878</v>
      </c>
      <c r="D36" s="7">
        <f t="shared" si="12"/>
        <v>17.881751999999999</v>
      </c>
      <c r="E36" s="7">
        <f t="shared" si="12"/>
        <v>18.7425</v>
      </c>
      <c r="F36" s="7">
        <f t="shared" si="12"/>
        <v>19.679625000000001</v>
      </c>
      <c r="G36" s="7">
        <f t="shared" si="12"/>
        <v>20.663606250000001</v>
      </c>
      <c r="H36" s="7">
        <f t="shared" si="12"/>
        <v>21.696786562500002</v>
      </c>
      <c r="I36" s="7">
        <f t="shared" si="12"/>
        <v>22.781625890625001</v>
      </c>
      <c r="J36" s="7">
        <f t="shared" si="12"/>
        <v>23.920707185156253</v>
      </c>
      <c r="K36" s="7">
        <f t="shared" si="12"/>
        <v>25.116742544414063</v>
      </c>
      <c r="L36" s="7">
        <f t="shared" si="12"/>
        <v>26.372579671634767</v>
      </c>
      <c r="M36" s="7">
        <f t="shared" si="12"/>
        <v>27.69120865521651</v>
      </c>
      <c r="N36" s="7">
        <f t="shared" si="12"/>
        <v>29.075769087977339</v>
      </c>
      <c r="O36" s="7">
        <f t="shared" si="12"/>
        <v>30.5295575423762</v>
      </c>
      <c r="P36" s="7">
        <f t="shared" si="12"/>
        <v>32.056035419495011</v>
      </c>
      <c r="Q36" s="7">
        <f t="shared" si="12"/>
        <v>33.658837190469754</v>
      </c>
      <c r="R36" s="7">
        <f t="shared" si="12"/>
        <v>35.341779049993249</v>
      </c>
      <c r="S36" s="7">
        <f t="shared" si="12"/>
        <v>37.108868002492912</v>
      </c>
      <c r="T36" s="7">
        <f t="shared" si="12"/>
        <v>38.964311402617568</v>
      </c>
      <c r="U36" s="7">
        <f t="shared" si="12"/>
        <v>40.912526972748445</v>
      </c>
      <c r="V36" s="7">
        <f t="shared" si="12"/>
        <v>42.958153321385865</v>
      </c>
      <c r="W36" s="7">
        <f t="shared" si="12"/>
        <v>45.106060987455159</v>
      </c>
      <c r="X36" s="7">
        <f t="shared" si="12"/>
        <v>47.361364036827908</v>
      </c>
      <c r="Y36" s="7">
        <f t="shared" si="12"/>
        <v>49.729432238669304</v>
      </c>
      <c r="Z36" s="7">
        <f t="shared" si="12"/>
        <v>52.215903850602785</v>
      </c>
    </row>
    <row r="37" spans="1:26" ht="16.5" customHeight="1">
      <c r="A37" s="1" t="s">
        <v>304</v>
      </c>
      <c r="B37" s="1" t="s">
        <v>96</v>
      </c>
      <c r="C37" s="7">
        <f>SUM(IF(0=MAX(1,ROUNDUP(Assumptions!$C$9/30,0)),C12*(1-Assumptions!$C$25),0))+IF(0=Assumptions!$C$12,$C$8*(1-Assumptions!$C$26),0)</f>
        <v>0</v>
      </c>
      <c r="D37" s="7">
        <f>SUM(IF(1=MAX(1,ROUNDUP(Assumptions!$C$9/30,0)),C12*(1-Assumptions!$C$25),0),IF(0=MAX(1,ROUNDUP(Assumptions!$C$9/30,0)),D12*(1-Assumptions!$C$25),0))+IF(1=Assumptions!$C$12,$C$8*(1-Assumptions!$C$26),0)</f>
        <v>6.9615</v>
      </c>
      <c r="E37" s="7">
        <f>SUM(IF(2=MAX(1,ROUNDUP(Assumptions!$C$9/30,0)),C12*(1-Assumptions!$C$25),0),IF(1=MAX(1,ROUNDUP(Assumptions!$C$9/30,0)),D12*(1-Assumptions!$C$25),0),IF(0=MAX(1,ROUNDUP(Assumptions!$C$9/30,0)),E12*(1-Assumptions!$C$25),0))+IF(2=Assumptions!$C$12,$C$8*(1-Assumptions!$C$26),0)</f>
        <v>5.5566000000000004E-2</v>
      </c>
      <c r="F37" s="7">
        <f>SUM(IF(3=MAX(1,ROUNDUP(Assumptions!$C$9/30,0)),C12*(1-Assumptions!$C$25),0),IF(2=MAX(1,ROUNDUP(Assumptions!$C$9/30,0)),D12*(1-Assumptions!$C$25),0),IF(1=MAX(1,ROUNDUP(Assumptions!$C$9/30,0)),E12*(1-Assumptions!$C$25),0),IF(0=MAX(1,ROUNDUP(Assumptions!$C$9/30,0)),F12*(1-Assumptions!$C$25),0))+IF(3=Assumptions!$C$12,$C$8*(1-Assumptions!$C$26),0)</f>
        <v>0</v>
      </c>
      <c r="G37" s="7">
        <f>SUM(IF(4=MAX(1,ROUNDUP(Assumptions!$C$9/30,0)),C12*(1-Assumptions!$C$25),0),IF(3=MAX(1,ROUNDUP(Assumptions!$C$9/30,0)),D12*(1-Assumptions!$C$25),0),IF(2=MAX(1,ROUNDUP(Assumptions!$C$9/30,0)),E12*(1-Assumptions!$C$25),0),IF(1=MAX(1,ROUNDUP(Assumptions!$C$9/30,0)),F12*(1-Assumptions!$C$25),0),IF(0=MAX(1,ROUNDUP(Assumptions!$C$9/30,0)),G12*(1-Assumptions!$C$25),0))+IF(4=Assumptions!$C$12,$C$8*(1-Assumptions!$C$26),0)</f>
        <v>0</v>
      </c>
      <c r="H37" s="7">
        <f>SUM(IF(5=MAX(1,ROUNDUP(Assumptions!$C$9/30,0)),C12*(1-Assumptions!$C$25),0),IF(4=MAX(1,ROUNDUP(Assumptions!$C$9/30,0)),D12*(1-Assumptions!$C$25),0),IF(3=MAX(1,ROUNDUP(Assumptions!$C$9/30,0)),E12*(1-Assumptions!$C$25),0),IF(2=MAX(1,ROUNDUP(Assumptions!$C$9/30,0)),F12*(1-Assumptions!$C$25),0),IF(1=MAX(1,ROUNDUP(Assumptions!$C$9/30,0)),G12*(1-Assumptions!$C$25),0),IF(0=MAX(1,ROUNDUP(Assumptions!$C$9/30,0)),H12*(1-Assumptions!$C$25),0))+IF(5=Assumptions!$C$12,$C$8*(1-Assumptions!$C$26),0)</f>
        <v>0</v>
      </c>
      <c r="I37" s="7">
        <f>SUM(IF(6=MAX(1,ROUNDUP(Assumptions!$C$9/30,0)),C12*(1-Assumptions!$C$25),0),IF(5=MAX(1,ROUNDUP(Assumptions!$C$9/30,0)),D12*(1-Assumptions!$C$25),0),IF(4=MAX(1,ROUNDUP(Assumptions!$C$9/30,0)),E12*(1-Assumptions!$C$25),0),IF(3=MAX(1,ROUNDUP(Assumptions!$C$9/30,0)),F12*(1-Assumptions!$C$25),0),IF(2=MAX(1,ROUNDUP(Assumptions!$C$9/30,0)),G12*(1-Assumptions!$C$25),0),IF(1=MAX(1,ROUNDUP(Assumptions!$C$9/30,0)),H12*(1-Assumptions!$C$25),0),IF(0=MAX(1,ROUNDUP(Assumptions!$C$9/30,0)),I12*(1-Assumptions!$C$25),0))+IF(6=Assumptions!$C$12,$C$8*(1-Assumptions!$C$26),0)</f>
        <v>0</v>
      </c>
      <c r="J37" s="7">
        <f>SUM(IF(7=MAX(1,ROUNDUP(Assumptions!$C$9/30,0)),C12*(1-Assumptions!$C$25),0),IF(6=MAX(1,ROUNDUP(Assumptions!$C$9/30,0)),D12*(1-Assumptions!$C$25),0),IF(5=MAX(1,ROUNDUP(Assumptions!$C$9/30,0)),E12*(1-Assumptions!$C$25),0),IF(4=MAX(1,ROUNDUP(Assumptions!$C$9/30,0)),F12*(1-Assumptions!$C$25),0),IF(3=MAX(1,ROUNDUP(Assumptions!$C$9/30,0)),G12*(1-Assumptions!$C$25),0),IF(2=MAX(1,ROUNDUP(Assumptions!$C$9/30,0)),H12*(1-Assumptions!$C$25),0),IF(1=MAX(1,ROUNDUP(Assumptions!$C$9/30,0)),I12*(1-Assumptions!$C$25),0),IF(0=MAX(1,ROUNDUP(Assumptions!$C$9/30,0)),J12*(1-Assumptions!$C$25),0))+IF(7=Assumptions!$C$12,$C$8*(1-Assumptions!$C$26),0)</f>
        <v>0</v>
      </c>
      <c r="K37" s="7">
        <f>SUM(IF(8=MAX(1,ROUNDUP(Assumptions!$C$9/30,0)),C12*(1-Assumptions!$C$25),0),IF(7=MAX(1,ROUNDUP(Assumptions!$C$9/30,0)),D12*(1-Assumptions!$C$25),0),IF(6=MAX(1,ROUNDUP(Assumptions!$C$9/30,0)),E12*(1-Assumptions!$C$25),0),IF(5=MAX(1,ROUNDUP(Assumptions!$C$9/30,0)),F12*(1-Assumptions!$C$25),0),IF(4=MAX(1,ROUNDUP(Assumptions!$C$9/30,0)),G12*(1-Assumptions!$C$25),0),IF(3=MAX(1,ROUNDUP(Assumptions!$C$9/30,0)),H12*(1-Assumptions!$C$25),0),IF(2=MAX(1,ROUNDUP(Assumptions!$C$9/30,0)),I12*(1-Assumptions!$C$25),0),IF(1=MAX(1,ROUNDUP(Assumptions!$C$9/30,0)),J12*(1-Assumptions!$C$25),0),IF(0=MAX(1,ROUNDUP(Assumptions!$C$9/30,0)),K12*(1-Assumptions!$C$25),0))+IF(8=Assumptions!$C$12,$C$8*(1-Assumptions!$C$26),0)</f>
        <v>0</v>
      </c>
      <c r="L37" s="7">
        <f>SUM(IF(9=MAX(1,ROUNDUP(Assumptions!$C$9/30,0)),C12*(1-Assumptions!$C$25),0),IF(8=MAX(1,ROUNDUP(Assumptions!$C$9/30,0)),D12*(1-Assumptions!$C$25),0),IF(7=MAX(1,ROUNDUP(Assumptions!$C$9/30,0)),E12*(1-Assumptions!$C$25),0),IF(6=MAX(1,ROUNDUP(Assumptions!$C$9/30,0)),F12*(1-Assumptions!$C$25),0),IF(5=MAX(1,ROUNDUP(Assumptions!$C$9/30,0)),G12*(1-Assumptions!$C$25),0),IF(4=MAX(1,ROUNDUP(Assumptions!$C$9/30,0)),H12*(1-Assumptions!$C$25),0),IF(3=MAX(1,ROUNDUP(Assumptions!$C$9/30,0)),I12*(1-Assumptions!$C$25),0),IF(2=MAX(1,ROUNDUP(Assumptions!$C$9/30,0)),J12*(1-Assumptions!$C$25),0),IF(1=MAX(1,ROUNDUP(Assumptions!$C$9/30,0)),K12*(1-Assumptions!$C$25),0),IF(0=MAX(1,ROUNDUP(Assumptions!$C$9/30,0)),L12*(1-Assumptions!$C$25),0))+IF(9=Assumptions!$C$12,$C$8*(1-Assumptions!$C$26),0)</f>
        <v>0</v>
      </c>
      <c r="M37" s="7">
        <f>SUM(IF(10=MAX(1,ROUNDUP(Assumptions!$C$9/30,0)),C12*(1-Assumptions!$C$25),0),IF(9=MAX(1,ROUNDUP(Assumptions!$C$9/30,0)),D12*(1-Assumptions!$C$25),0),IF(8=MAX(1,ROUNDUP(Assumptions!$C$9/30,0)),E12*(1-Assumptions!$C$25),0),IF(7=MAX(1,ROUNDUP(Assumptions!$C$9/30,0)),F12*(1-Assumptions!$C$25),0),IF(6=MAX(1,ROUNDUP(Assumptions!$C$9/30,0)),G12*(1-Assumptions!$C$25),0),IF(5=MAX(1,ROUNDUP(Assumptions!$C$9/30,0)),H12*(1-Assumptions!$C$25),0),IF(4=MAX(1,ROUNDUP(Assumptions!$C$9/30,0)),I12*(1-Assumptions!$C$25),0),IF(3=MAX(1,ROUNDUP(Assumptions!$C$9/30,0)),J12*(1-Assumptions!$C$25),0),IF(2=MAX(1,ROUNDUP(Assumptions!$C$9/30,0)),K12*(1-Assumptions!$C$25),0),IF(1=MAX(1,ROUNDUP(Assumptions!$C$9/30,0)),L12*(1-Assumptions!$C$25),0),IF(0=MAX(1,ROUNDUP(Assumptions!$C$9/30,0)),M12*(1-Assumptions!$C$25),0))+IF(10=Assumptions!$C$12,$C$8*(1-Assumptions!$C$26),0)</f>
        <v>0</v>
      </c>
      <c r="N37" s="7">
        <f>SUM(IF(11=MAX(1,ROUNDUP(Assumptions!$C$9/30,0)),C12*(1-Assumptions!$C$25),0),IF(10=MAX(1,ROUNDUP(Assumptions!$C$9/30,0)),D12*(1-Assumptions!$C$25),0),IF(9=MAX(1,ROUNDUP(Assumptions!$C$9/30,0)),E12*(1-Assumptions!$C$25),0),IF(8=MAX(1,ROUNDUP(Assumptions!$C$9/30,0)),F12*(1-Assumptions!$C$25),0),IF(7=MAX(1,ROUNDUP(Assumptions!$C$9/30,0)),G12*(1-Assumptions!$C$25),0),IF(6=MAX(1,ROUNDUP(Assumptions!$C$9/30,0)),H12*(1-Assumptions!$C$25),0),IF(5=MAX(1,ROUNDUP(Assumptions!$C$9/30,0)),I12*(1-Assumptions!$C$25),0),IF(4=MAX(1,ROUNDUP(Assumptions!$C$9/30,0)),J12*(1-Assumptions!$C$25),0),IF(3=MAX(1,ROUNDUP(Assumptions!$C$9/30,0)),K12*(1-Assumptions!$C$25),0),IF(2=MAX(1,ROUNDUP(Assumptions!$C$9/30,0)),L12*(1-Assumptions!$C$25),0),IF(1=MAX(1,ROUNDUP(Assumptions!$C$9/30,0)),M12*(1-Assumptions!$C$25),0),IF(0=MAX(1,ROUNDUP(Assumptions!$C$9/30,0)),N12*(1-Assumptions!$C$25),0))+IF(11=Assumptions!$C$12,$C$8*(1-Assumptions!$C$26),0)</f>
        <v>0</v>
      </c>
      <c r="O37" s="7">
        <f>SUM(IF(12=MAX(1,ROUNDUP(Assumptions!$C$9/30,0)),C12*(1-Assumptions!$C$25),0),IF(11=MAX(1,ROUNDUP(Assumptions!$C$9/30,0)),D12*(1-Assumptions!$C$25),0),IF(10=MAX(1,ROUNDUP(Assumptions!$C$9/30,0)),E12*(1-Assumptions!$C$25),0),IF(9=MAX(1,ROUNDUP(Assumptions!$C$9/30,0)),F12*(1-Assumptions!$C$25),0),IF(8=MAX(1,ROUNDUP(Assumptions!$C$9/30,0)),G12*(1-Assumptions!$C$25),0),IF(7=MAX(1,ROUNDUP(Assumptions!$C$9/30,0)),H12*(1-Assumptions!$C$25),0),IF(6=MAX(1,ROUNDUP(Assumptions!$C$9/30,0)),I12*(1-Assumptions!$C$25),0),IF(5=MAX(1,ROUNDUP(Assumptions!$C$9/30,0)),J12*(1-Assumptions!$C$25),0),IF(4=MAX(1,ROUNDUP(Assumptions!$C$9/30,0)),K12*(1-Assumptions!$C$25),0),IF(3=MAX(1,ROUNDUP(Assumptions!$C$9/30,0)),L12*(1-Assumptions!$C$25),0),IF(2=MAX(1,ROUNDUP(Assumptions!$C$9/30,0)),M12*(1-Assumptions!$C$25),0),IF(1=MAX(1,ROUNDUP(Assumptions!$C$9/30,0)),N12*(1-Assumptions!$C$25),0),IF(0=MAX(1,ROUNDUP(Assumptions!$C$9/30,0)),O12*(1-Assumptions!$C$25),0))+IF(12=Assumptions!$C$12,$C$8*(1-Assumptions!$C$26),0)</f>
        <v>0</v>
      </c>
      <c r="P37" s="7">
        <f>SUM(IF(13=MAX(1,ROUNDUP(Assumptions!$C$9/30,0)),C12*(1-Assumptions!$C$25),0),IF(12=MAX(1,ROUNDUP(Assumptions!$C$9/30,0)),D12*(1-Assumptions!$C$25),0),IF(11=MAX(1,ROUNDUP(Assumptions!$C$9/30,0)),E12*(1-Assumptions!$C$25),0),IF(10=MAX(1,ROUNDUP(Assumptions!$C$9/30,0)),F12*(1-Assumptions!$C$25),0),IF(9=MAX(1,ROUNDUP(Assumptions!$C$9/30,0)),G12*(1-Assumptions!$C$25),0),IF(8=MAX(1,ROUNDUP(Assumptions!$C$9/30,0)),H12*(1-Assumptions!$C$25),0),IF(7=MAX(1,ROUNDUP(Assumptions!$C$9/30,0)),I12*(1-Assumptions!$C$25),0),IF(6=MAX(1,ROUNDUP(Assumptions!$C$9/30,0)),J12*(1-Assumptions!$C$25),0),IF(5=MAX(1,ROUNDUP(Assumptions!$C$9/30,0)),K12*(1-Assumptions!$C$25),0),IF(4=MAX(1,ROUNDUP(Assumptions!$C$9/30,0)),L12*(1-Assumptions!$C$25),0),IF(3=MAX(1,ROUNDUP(Assumptions!$C$9/30,0)),M12*(1-Assumptions!$C$25),0),IF(2=MAX(1,ROUNDUP(Assumptions!$C$9/30,0)),N12*(1-Assumptions!$C$25),0),IF(1=MAX(1,ROUNDUP(Assumptions!$C$9/30,0)),O12*(1-Assumptions!$C$25),0),IF(0=MAX(1,ROUNDUP(Assumptions!$C$9/30,0)),P12*(1-Assumptions!$C$25),0))+IF(13=Assumptions!$C$12,$C$8*(1-Assumptions!$C$26),0)</f>
        <v>0</v>
      </c>
      <c r="Q37" s="7">
        <f>SUM(IF(14=MAX(1,ROUNDUP(Assumptions!$C$9/30,0)),C12*(1-Assumptions!$C$25),0),IF(13=MAX(1,ROUNDUP(Assumptions!$C$9/30,0)),D12*(1-Assumptions!$C$25),0),IF(12=MAX(1,ROUNDUP(Assumptions!$C$9/30,0)),E12*(1-Assumptions!$C$25),0),IF(11=MAX(1,ROUNDUP(Assumptions!$C$9/30,0)),F12*(1-Assumptions!$C$25),0),IF(10=MAX(1,ROUNDUP(Assumptions!$C$9/30,0)),G12*(1-Assumptions!$C$25),0),IF(9=MAX(1,ROUNDUP(Assumptions!$C$9/30,0)),H12*(1-Assumptions!$C$25),0),IF(8=MAX(1,ROUNDUP(Assumptions!$C$9/30,0)),I12*(1-Assumptions!$C$25),0),IF(7=MAX(1,ROUNDUP(Assumptions!$C$9/30,0)),J12*(1-Assumptions!$C$25),0),IF(6=MAX(1,ROUNDUP(Assumptions!$C$9/30,0)),K12*(1-Assumptions!$C$25),0),IF(5=MAX(1,ROUNDUP(Assumptions!$C$9/30,0)),L12*(1-Assumptions!$C$25),0),IF(4=MAX(1,ROUNDUP(Assumptions!$C$9/30,0)),M12*(1-Assumptions!$C$25),0),IF(3=MAX(1,ROUNDUP(Assumptions!$C$9/30,0)),N12*(1-Assumptions!$C$25),0),IF(2=MAX(1,ROUNDUP(Assumptions!$C$9/30,0)),O12*(1-Assumptions!$C$25),0),IF(1=MAX(1,ROUNDUP(Assumptions!$C$9/30,0)),P12*(1-Assumptions!$C$25),0),IF(0=MAX(1,ROUNDUP(Assumptions!$C$9/30,0)),Q12*(1-Assumptions!$C$25),0))+IF(14=Assumptions!$C$12,$C$8*(1-Assumptions!$C$26),0)</f>
        <v>0</v>
      </c>
      <c r="R37" s="7">
        <f>SUM(IF(15=MAX(1,ROUNDUP(Assumptions!$C$9/30,0)),C12*(1-Assumptions!$C$25),0),IF(14=MAX(1,ROUNDUP(Assumptions!$C$9/30,0)),D12*(1-Assumptions!$C$25),0),IF(13=MAX(1,ROUNDUP(Assumptions!$C$9/30,0)),E12*(1-Assumptions!$C$25),0),IF(12=MAX(1,ROUNDUP(Assumptions!$C$9/30,0)),F12*(1-Assumptions!$C$25),0),IF(11=MAX(1,ROUNDUP(Assumptions!$C$9/30,0)),G12*(1-Assumptions!$C$25),0),IF(10=MAX(1,ROUNDUP(Assumptions!$C$9/30,0)),H12*(1-Assumptions!$C$25),0),IF(9=MAX(1,ROUNDUP(Assumptions!$C$9/30,0)),I12*(1-Assumptions!$C$25),0),IF(8=MAX(1,ROUNDUP(Assumptions!$C$9/30,0)),J12*(1-Assumptions!$C$25),0),IF(7=MAX(1,ROUNDUP(Assumptions!$C$9/30,0)),K12*(1-Assumptions!$C$25),0),IF(6=MAX(1,ROUNDUP(Assumptions!$C$9/30,0)),L12*(1-Assumptions!$C$25),0),IF(5=MAX(1,ROUNDUP(Assumptions!$C$9/30,0)),M12*(1-Assumptions!$C$25),0),IF(4=MAX(1,ROUNDUP(Assumptions!$C$9/30,0)),N12*(1-Assumptions!$C$25),0),IF(3=MAX(1,ROUNDUP(Assumptions!$C$9/30,0)),O12*(1-Assumptions!$C$25),0),IF(2=MAX(1,ROUNDUP(Assumptions!$C$9/30,0)),P12*(1-Assumptions!$C$25),0),IF(1=MAX(1,ROUNDUP(Assumptions!$C$9/30,0)),Q12*(1-Assumptions!$C$25),0),IF(0=MAX(1,ROUNDUP(Assumptions!$C$9/30,0)),R12*(1-Assumptions!$C$25),0))+IF(15=Assumptions!$C$12,$C$8*(1-Assumptions!$C$26),0)</f>
        <v>0</v>
      </c>
      <c r="S37" s="7">
        <f>SUM(IF(16=MAX(1,ROUNDUP(Assumptions!$C$9/30,0)),C12*(1-Assumptions!$C$25),0),IF(15=MAX(1,ROUNDUP(Assumptions!$C$9/30,0)),D12*(1-Assumptions!$C$25),0),IF(14=MAX(1,ROUNDUP(Assumptions!$C$9/30,0)),E12*(1-Assumptions!$C$25),0),IF(13=MAX(1,ROUNDUP(Assumptions!$C$9/30,0)),F12*(1-Assumptions!$C$25),0),IF(12=MAX(1,ROUNDUP(Assumptions!$C$9/30,0)),G12*(1-Assumptions!$C$25),0),IF(11=MAX(1,ROUNDUP(Assumptions!$C$9/30,0)),H12*(1-Assumptions!$C$25),0),IF(10=MAX(1,ROUNDUP(Assumptions!$C$9/30,0)),I12*(1-Assumptions!$C$25),0),IF(9=MAX(1,ROUNDUP(Assumptions!$C$9/30,0)),J12*(1-Assumptions!$C$25),0),IF(8=MAX(1,ROUNDUP(Assumptions!$C$9/30,0)),K12*(1-Assumptions!$C$25),0),IF(7=MAX(1,ROUNDUP(Assumptions!$C$9/30,0)),L12*(1-Assumptions!$C$25),0),IF(6=MAX(1,ROUNDUP(Assumptions!$C$9/30,0)),M12*(1-Assumptions!$C$25),0),IF(5=MAX(1,ROUNDUP(Assumptions!$C$9/30,0)),N12*(1-Assumptions!$C$25),0),IF(4=MAX(1,ROUNDUP(Assumptions!$C$9/30,0)),O12*(1-Assumptions!$C$25),0),IF(3=MAX(1,ROUNDUP(Assumptions!$C$9/30,0)),P12*(1-Assumptions!$C$25),0),IF(2=MAX(1,ROUNDUP(Assumptions!$C$9/30,0)),Q12*(1-Assumptions!$C$25),0),IF(1=MAX(1,ROUNDUP(Assumptions!$C$9/30,0)),R12*(1-Assumptions!$C$25),0),IF(0=MAX(1,ROUNDUP(Assumptions!$C$9/30,0)),S12*(1-Assumptions!$C$25),0))+IF(16=Assumptions!$C$12,$C$8*(1-Assumptions!$C$26),0)</f>
        <v>0</v>
      </c>
      <c r="T37" s="7">
        <f>SUM(IF(17=MAX(1,ROUNDUP(Assumptions!$C$9/30,0)),C12*(1-Assumptions!$C$25),0),IF(16=MAX(1,ROUNDUP(Assumptions!$C$9/30,0)),D12*(1-Assumptions!$C$25),0),IF(15=MAX(1,ROUNDUP(Assumptions!$C$9/30,0)),E12*(1-Assumptions!$C$25),0),IF(14=MAX(1,ROUNDUP(Assumptions!$C$9/30,0)),F12*(1-Assumptions!$C$25),0),IF(13=MAX(1,ROUNDUP(Assumptions!$C$9/30,0)),G12*(1-Assumptions!$C$25),0),IF(12=MAX(1,ROUNDUP(Assumptions!$C$9/30,0)),H12*(1-Assumptions!$C$25),0),IF(11=MAX(1,ROUNDUP(Assumptions!$C$9/30,0)),I12*(1-Assumptions!$C$25),0),IF(10=MAX(1,ROUNDUP(Assumptions!$C$9/30,0)),J12*(1-Assumptions!$C$25),0),IF(9=MAX(1,ROUNDUP(Assumptions!$C$9/30,0)),K12*(1-Assumptions!$C$25),0),IF(8=MAX(1,ROUNDUP(Assumptions!$C$9/30,0)),L12*(1-Assumptions!$C$25),0),IF(7=MAX(1,ROUNDUP(Assumptions!$C$9/30,0)),M12*(1-Assumptions!$C$25),0),IF(6=MAX(1,ROUNDUP(Assumptions!$C$9/30,0)),N12*(1-Assumptions!$C$25),0),IF(5=MAX(1,ROUNDUP(Assumptions!$C$9/30,0)),O12*(1-Assumptions!$C$25),0),IF(4=MAX(1,ROUNDUP(Assumptions!$C$9/30,0)),P12*(1-Assumptions!$C$25),0),IF(3=MAX(1,ROUNDUP(Assumptions!$C$9/30,0)),Q12*(1-Assumptions!$C$25),0),IF(2=MAX(1,ROUNDUP(Assumptions!$C$9/30,0)),R12*(1-Assumptions!$C$25),0),IF(1=MAX(1,ROUNDUP(Assumptions!$C$9/30,0)),S12*(1-Assumptions!$C$25),0),IF(0=MAX(1,ROUNDUP(Assumptions!$C$9/30,0)),T12*(1-Assumptions!$C$25),0))+IF(17=Assumptions!$C$12,$C$8*(1-Assumptions!$C$26),0)</f>
        <v>0</v>
      </c>
      <c r="U37" s="7">
        <f>SUM(IF(18=MAX(1,ROUNDUP(Assumptions!$C$9/30,0)),C12*(1-Assumptions!$C$25),0),IF(17=MAX(1,ROUNDUP(Assumptions!$C$9/30,0)),D12*(1-Assumptions!$C$25),0),IF(16=MAX(1,ROUNDUP(Assumptions!$C$9/30,0)),E12*(1-Assumptions!$C$25),0),IF(15=MAX(1,ROUNDUP(Assumptions!$C$9/30,0)),F12*(1-Assumptions!$C$25),0),IF(14=MAX(1,ROUNDUP(Assumptions!$C$9/30,0)),G12*(1-Assumptions!$C$25),0),IF(13=MAX(1,ROUNDUP(Assumptions!$C$9/30,0)),H12*(1-Assumptions!$C$25),0),IF(12=MAX(1,ROUNDUP(Assumptions!$C$9/30,0)),I12*(1-Assumptions!$C$25),0),IF(11=MAX(1,ROUNDUP(Assumptions!$C$9/30,0)),J12*(1-Assumptions!$C$25),0),IF(10=MAX(1,ROUNDUP(Assumptions!$C$9/30,0)),K12*(1-Assumptions!$C$25),0),IF(9=MAX(1,ROUNDUP(Assumptions!$C$9/30,0)),L12*(1-Assumptions!$C$25),0),IF(8=MAX(1,ROUNDUP(Assumptions!$C$9/30,0)),M12*(1-Assumptions!$C$25),0),IF(7=MAX(1,ROUNDUP(Assumptions!$C$9/30,0)),N12*(1-Assumptions!$C$25),0),IF(6=MAX(1,ROUNDUP(Assumptions!$C$9/30,0)),O12*(1-Assumptions!$C$25),0),IF(5=MAX(1,ROUNDUP(Assumptions!$C$9/30,0)),P12*(1-Assumptions!$C$25),0),IF(4=MAX(1,ROUNDUP(Assumptions!$C$9/30,0)),Q12*(1-Assumptions!$C$25),0),IF(3=MAX(1,ROUNDUP(Assumptions!$C$9/30,0)),R12*(1-Assumptions!$C$25),0),IF(2=MAX(1,ROUNDUP(Assumptions!$C$9/30,0)),S12*(1-Assumptions!$C$25),0),IF(1=MAX(1,ROUNDUP(Assumptions!$C$9/30,0)),T12*(1-Assumptions!$C$25),0),IF(0=MAX(1,ROUNDUP(Assumptions!$C$9/30,0)),U12*(1-Assumptions!$C$25),0))+IF(18=Assumptions!$C$12,$C$8*(1-Assumptions!$C$26),0)</f>
        <v>0</v>
      </c>
      <c r="V37" s="7">
        <f>SUM(IF(19=MAX(1,ROUNDUP(Assumptions!$C$9/30,0)),C12*(1-Assumptions!$C$25),0),IF(18=MAX(1,ROUNDUP(Assumptions!$C$9/30,0)),D12*(1-Assumptions!$C$25),0),IF(17=MAX(1,ROUNDUP(Assumptions!$C$9/30,0)),E12*(1-Assumptions!$C$25),0),IF(16=MAX(1,ROUNDUP(Assumptions!$C$9/30,0)),F12*(1-Assumptions!$C$25),0),IF(15=MAX(1,ROUNDUP(Assumptions!$C$9/30,0)),G12*(1-Assumptions!$C$25),0),IF(14=MAX(1,ROUNDUP(Assumptions!$C$9/30,0)),H12*(1-Assumptions!$C$25),0),IF(13=MAX(1,ROUNDUP(Assumptions!$C$9/30,0)),I12*(1-Assumptions!$C$25),0),IF(12=MAX(1,ROUNDUP(Assumptions!$C$9/30,0)),J12*(1-Assumptions!$C$25),0),IF(11=MAX(1,ROUNDUP(Assumptions!$C$9/30,0)),K12*(1-Assumptions!$C$25),0),IF(10=MAX(1,ROUNDUP(Assumptions!$C$9/30,0)),L12*(1-Assumptions!$C$25),0),IF(9=MAX(1,ROUNDUP(Assumptions!$C$9/30,0)),M12*(1-Assumptions!$C$25),0),IF(8=MAX(1,ROUNDUP(Assumptions!$C$9/30,0)),N12*(1-Assumptions!$C$25),0),IF(7=MAX(1,ROUNDUP(Assumptions!$C$9/30,0)),O12*(1-Assumptions!$C$25),0),IF(6=MAX(1,ROUNDUP(Assumptions!$C$9/30,0)),P12*(1-Assumptions!$C$25),0),IF(5=MAX(1,ROUNDUP(Assumptions!$C$9/30,0)),Q12*(1-Assumptions!$C$25),0),IF(4=MAX(1,ROUNDUP(Assumptions!$C$9/30,0)),R12*(1-Assumptions!$C$25),0),IF(3=MAX(1,ROUNDUP(Assumptions!$C$9/30,0)),S12*(1-Assumptions!$C$25),0),IF(2=MAX(1,ROUNDUP(Assumptions!$C$9/30,0)),T12*(1-Assumptions!$C$25),0),IF(1=MAX(1,ROUNDUP(Assumptions!$C$9/30,0)),U12*(1-Assumptions!$C$25),0),IF(0=MAX(1,ROUNDUP(Assumptions!$C$9/30,0)),V12*(1-Assumptions!$C$25),0))+IF(19=Assumptions!$C$12,$C$8*(1-Assumptions!$C$26),0)</f>
        <v>0</v>
      </c>
      <c r="W37" s="7">
        <f>SUM(IF(20=MAX(1,ROUNDUP(Assumptions!$C$9/30,0)),C12*(1-Assumptions!$C$25),0),IF(19=MAX(1,ROUNDUP(Assumptions!$C$9/30,0)),D12*(1-Assumptions!$C$25),0),IF(18=MAX(1,ROUNDUP(Assumptions!$C$9/30,0)),E12*(1-Assumptions!$C$25),0),IF(17=MAX(1,ROUNDUP(Assumptions!$C$9/30,0)),F12*(1-Assumptions!$C$25),0),IF(16=MAX(1,ROUNDUP(Assumptions!$C$9/30,0)),G12*(1-Assumptions!$C$25),0),IF(15=MAX(1,ROUNDUP(Assumptions!$C$9/30,0)),H12*(1-Assumptions!$C$25),0),IF(14=MAX(1,ROUNDUP(Assumptions!$C$9/30,0)),I12*(1-Assumptions!$C$25),0),IF(13=MAX(1,ROUNDUP(Assumptions!$C$9/30,0)),J12*(1-Assumptions!$C$25),0),IF(12=MAX(1,ROUNDUP(Assumptions!$C$9/30,0)),K12*(1-Assumptions!$C$25),0),IF(11=MAX(1,ROUNDUP(Assumptions!$C$9/30,0)),L12*(1-Assumptions!$C$25),0),IF(10=MAX(1,ROUNDUP(Assumptions!$C$9/30,0)),M12*(1-Assumptions!$C$25),0),IF(9=MAX(1,ROUNDUP(Assumptions!$C$9/30,0)),N12*(1-Assumptions!$C$25),0),IF(8=MAX(1,ROUNDUP(Assumptions!$C$9/30,0)),O12*(1-Assumptions!$C$25),0),IF(7=MAX(1,ROUNDUP(Assumptions!$C$9/30,0)),P12*(1-Assumptions!$C$25),0),IF(6=MAX(1,ROUNDUP(Assumptions!$C$9/30,0)),Q12*(1-Assumptions!$C$25),0),IF(5=MAX(1,ROUNDUP(Assumptions!$C$9/30,0)),R12*(1-Assumptions!$C$25),0),IF(4=MAX(1,ROUNDUP(Assumptions!$C$9/30,0)),S12*(1-Assumptions!$C$25),0),IF(3=MAX(1,ROUNDUP(Assumptions!$C$9/30,0)),T12*(1-Assumptions!$C$25),0),IF(2=MAX(1,ROUNDUP(Assumptions!$C$9/30,0)),U12*(1-Assumptions!$C$25),0),IF(1=MAX(1,ROUNDUP(Assumptions!$C$9/30,0)),V12*(1-Assumptions!$C$25),0),IF(0=MAX(1,ROUNDUP(Assumptions!$C$9/30,0)),W12*(1-Assumptions!$C$25),0))+IF(20=Assumptions!$C$12,$C$8*(1-Assumptions!$C$26),0)</f>
        <v>0</v>
      </c>
      <c r="X37" s="7">
        <f>SUM(IF(21=MAX(1,ROUNDUP(Assumptions!$C$9/30,0)),C12*(1-Assumptions!$C$25),0),IF(20=MAX(1,ROUNDUP(Assumptions!$C$9/30,0)),D12*(1-Assumptions!$C$25),0),IF(19=MAX(1,ROUNDUP(Assumptions!$C$9/30,0)),E12*(1-Assumptions!$C$25),0),IF(18=MAX(1,ROUNDUP(Assumptions!$C$9/30,0)),F12*(1-Assumptions!$C$25),0),IF(17=MAX(1,ROUNDUP(Assumptions!$C$9/30,0)),G12*(1-Assumptions!$C$25),0),IF(16=MAX(1,ROUNDUP(Assumptions!$C$9/30,0)),H12*(1-Assumptions!$C$25),0),IF(15=MAX(1,ROUNDUP(Assumptions!$C$9/30,0)),I12*(1-Assumptions!$C$25),0),IF(14=MAX(1,ROUNDUP(Assumptions!$C$9/30,0)),J12*(1-Assumptions!$C$25),0),IF(13=MAX(1,ROUNDUP(Assumptions!$C$9/30,0)),K12*(1-Assumptions!$C$25),0),IF(12=MAX(1,ROUNDUP(Assumptions!$C$9/30,0)),L12*(1-Assumptions!$C$25),0),IF(11=MAX(1,ROUNDUP(Assumptions!$C$9/30,0)),M12*(1-Assumptions!$C$25),0),IF(10=MAX(1,ROUNDUP(Assumptions!$C$9/30,0)),N12*(1-Assumptions!$C$25),0),IF(9=MAX(1,ROUNDUP(Assumptions!$C$9/30,0)),O12*(1-Assumptions!$C$25),0),IF(8=MAX(1,ROUNDUP(Assumptions!$C$9/30,0)),P12*(1-Assumptions!$C$25),0),IF(7=MAX(1,ROUNDUP(Assumptions!$C$9/30,0)),Q12*(1-Assumptions!$C$25),0),IF(6=MAX(1,ROUNDUP(Assumptions!$C$9/30,0)),R12*(1-Assumptions!$C$25),0),IF(5=MAX(1,ROUNDUP(Assumptions!$C$9/30,0)),S12*(1-Assumptions!$C$25),0),IF(4=MAX(1,ROUNDUP(Assumptions!$C$9/30,0)),T12*(1-Assumptions!$C$25),0),IF(3=MAX(1,ROUNDUP(Assumptions!$C$9/30,0)),U12*(1-Assumptions!$C$25),0),IF(2=MAX(1,ROUNDUP(Assumptions!$C$9/30,0)),V12*(1-Assumptions!$C$25),0),IF(1=MAX(1,ROUNDUP(Assumptions!$C$9/30,0)),W12*(1-Assumptions!$C$25),0),IF(0=MAX(1,ROUNDUP(Assumptions!$C$9/30,0)),X12*(1-Assumptions!$C$25),0))+IF(21=Assumptions!$C$12,$C$8*(1-Assumptions!$C$26),0)</f>
        <v>0</v>
      </c>
      <c r="Y37" s="7">
        <f>SUM(IF(22=MAX(1,ROUNDUP(Assumptions!$C$9/30,0)),C12*(1-Assumptions!$C$25),0),IF(21=MAX(1,ROUNDUP(Assumptions!$C$9/30,0)),D12*(1-Assumptions!$C$25),0),IF(20=MAX(1,ROUNDUP(Assumptions!$C$9/30,0)),E12*(1-Assumptions!$C$25),0),IF(19=MAX(1,ROUNDUP(Assumptions!$C$9/30,0)),F12*(1-Assumptions!$C$25),0),IF(18=MAX(1,ROUNDUP(Assumptions!$C$9/30,0)),G12*(1-Assumptions!$C$25),0),IF(17=MAX(1,ROUNDUP(Assumptions!$C$9/30,0)),H12*(1-Assumptions!$C$25),0),IF(16=MAX(1,ROUNDUP(Assumptions!$C$9/30,0)),I12*(1-Assumptions!$C$25),0),IF(15=MAX(1,ROUNDUP(Assumptions!$C$9/30,0)),J12*(1-Assumptions!$C$25),0),IF(14=MAX(1,ROUNDUP(Assumptions!$C$9/30,0)),K12*(1-Assumptions!$C$25),0),IF(13=MAX(1,ROUNDUP(Assumptions!$C$9/30,0)),L12*(1-Assumptions!$C$25),0),IF(12=MAX(1,ROUNDUP(Assumptions!$C$9/30,0)),M12*(1-Assumptions!$C$25),0),IF(11=MAX(1,ROUNDUP(Assumptions!$C$9/30,0)),N12*(1-Assumptions!$C$25),0),IF(10=MAX(1,ROUNDUP(Assumptions!$C$9/30,0)),O12*(1-Assumptions!$C$25),0),IF(9=MAX(1,ROUNDUP(Assumptions!$C$9/30,0)),P12*(1-Assumptions!$C$25),0),IF(8=MAX(1,ROUNDUP(Assumptions!$C$9/30,0)),Q12*(1-Assumptions!$C$25),0),IF(7=MAX(1,ROUNDUP(Assumptions!$C$9/30,0)),R12*(1-Assumptions!$C$25),0),IF(6=MAX(1,ROUNDUP(Assumptions!$C$9/30,0)),S12*(1-Assumptions!$C$25),0),IF(5=MAX(1,ROUNDUP(Assumptions!$C$9/30,0)),T12*(1-Assumptions!$C$25),0),IF(4=MAX(1,ROUNDUP(Assumptions!$C$9/30,0)),U12*(1-Assumptions!$C$25),0),IF(3=MAX(1,ROUNDUP(Assumptions!$C$9/30,0)),V12*(1-Assumptions!$C$25),0),IF(2=MAX(1,ROUNDUP(Assumptions!$C$9/30,0)),W12*(1-Assumptions!$C$25),0),IF(1=MAX(1,ROUNDUP(Assumptions!$C$9/30,0)),X12*(1-Assumptions!$C$25),0),IF(0=MAX(1,ROUNDUP(Assumptions!$C$9/30,0)),Y12*(1-Assumptions!$C$25),0))+IF(22=Assumptions!$C$12,$C$8*(1-Assumptions!$C$26),0)</f>
        <v>0</v>
      </c>
      <c r="Z37" s="7">
        <f>SUM(IF(23=MAX(1,ROUNDUP(Assumptions!$C$9/30,0)),C12*(1-Assumptions!$C$25),0),IF(22=MAX(1,ROUNDUP(Assumptions!$C$9/30,0)),D12*(1-Assumptions!$C$25),0),IF(21=MAX(1,ROUNDUP(Assumptions!$C$9/30,0)),E12*(1-Assumptions!$C$25),0),IF(20=MAX(1,ROUNDUP(Assumptions!$C$9/30,0)),F12*(1-Assumptions!$C$25),0),IF(19=MAX(1,ROUNDUP(Assumptions!$C$9/30,0)),G12*(1-Assumptions!$C$25),0),IF(18=MAX(1,ROUNDUP(Assumptions!$C$9/30,0)),H12*(1-Assumptions!$C$25),0),IF(17=MAX(1,ROUNDUP(Assumptions!$C$9/30,0)),I12*(1-Assumptions!$C$25),0),IF(16=MAX(1,ROUNDUP(Assumptions!$C$9/30,0)),J12*(1-Assumptions!$C$25),0),IF(15=MAX(1,ROUNDUP(Assumptions!$C$9/30,0)),K12*(1-Assumptions!$C$25),0),IF(14=MAX(1,ROUNDUP(Assumptions!$C$9/30,0)),L12*(1-Assumptions!$C$25),0),IF(13=MAX(1,ROUNDUP(Assumptions!$C$9/30,0)),M12*(1-Assumptions!$C$25),0),IF(12=MAX(1,ROUNDUP(Assumptions!$C$9/30,0)),N12*(1-Assumptions!$C$25),0),IF(11=MAX(1,ROUNDUP(Assumptions!$C$9/30,0)),O12*(1-Assumptions!$C$25),0),IF(10=MAX(1,ROUNDUP(Assumptions!$C$9/30,0)),P12*(1-Assumptions!$C$25),0),IF(9=MAX(1,ROUNDUP(Assumptions!$C$9/30,0)),Q12*(1-Assumptions!$C$25),0),IF(8=MAX(1,ROUNDUP(Assumptions!$C$9/30,0)),R12*(1-Assumptions!$C$25),0),IF(7=MAX(1,ROUNDUP(Assumptions!$C$9/30,0)),S12*(1-Assumptions!$C$25),0),IF(6=MAX(1,ROUNDUP(Assumptions!$C$9/30,0)),T12*(1-Assumptions!$C$25),0),IF(5=MAX(1,ROUNDUP(Assumptions!$C$9/30,0)),U12*(1-Assumptions!$C$25),0),IF(4=MAX(1,ROUNDUP(Assumptions!$C$9/30,0)),V12*(1-Assumptions!$C$25),0),IF(3=MAX(1,ROUNDUP(Assumptions!$C$9/30,0)),W12*(1-Assumptions!$C$25),0),IF(2=MAX(1,ROUNDUP(Assumptions!$C$9/30,0)),X12*(1-Assumptions!$C$25),0),IF(1=MAX(1,ROUNDUP(Assumptions!$C$9/30,0)),Y12*(1-Assumptions!$C$25),0),IF(0=MAX(1,ROUNDUP(Assumptions!$C$9/30,0)),Z12*(1-Assumptions!$C$25),0))+IF(23=Assumptions!$C$12,$C$8*(1-Assumptions!$C$26),0)</f>
        <v>0</v>
      </c>
    </row>
    <row r="38" spans="1:26" ht="16.5" customHeight="1">
      <c r="A38" s="1" t="s">
        <v>305</v>
      </c>
      <c r="B38" s="1" t="s">
        <v>96</v>
      </c>
      <c r="C38" s="7">
        <f>SUM(C25:C27)*Assumptions!$C$32</f>
        <v>0</v>
      </c>
      <c r="D38" s="7">
        <f>SUM(D25:D27)*Assumptions!$C$32</f>
        <v>5.7599999999999998E-2</v>
      </c>
      <c r="E38" s="7">
        <f>SUM(E25:E27)*Assumptions!$C$32</f>
        <v>0.19926720000000001</v>
      </c>
      <c r="F38" s="7">
        <f>SUM(F25:F27)*Assumptions!$C$32</f>
        <v>0.25037372160000004</v>
      </c>
      <c r="G38" s="7">
        <f>SUM(G25:G27)*Assumptions!$C$32</f>
        <v>0.30102900341760003</v>
      </c>
      <c r="H38" s="7">
        <f>SUM(H25:H27)*Assumptions!$C$32</f>
        <v>0.35177630719887359</v>
      </c>
      <c r="I38" s="7">
        <f>SUM(I25:I27)*Assumptions!$C$32</f>
        <v>0.40277644153814574</v>
      </c>
      <c r="J38" s="7">
        <f>SUM(J25:J27)*Assumptions!$C$32</f>
        <v>0.45418825817970437</v>
      </c>
      <c r="K38" s="7">
        <f>SUM(K25:K27)*Assumptions!$C$32</f>
        <v>0.5061691940012033</v>
      </c>
      <c r="L38" s="7">
        <f>SUM(L25:L27)*Assumptions!$C$32</f>
        <v>0.5588757991473764</v>
      </c>
      <c r="M38" s="7">
        <f>SUM(M25:M27)*Assumptions!$C$32</f>
        <v>0.61246425324230669</v>
      </c>
      <c r="N38" s="7">
        <f>SUM(N25:N27)*Assumptions!$C$32</f>
        <v>0.66709087153717961</v>
      </c>
      <c r="O38" s="7">
        <f>SUM(O25:O27)*Assumptions!$C$32</f>
        <v>0.72291260278629987</v>
      </c>
      <c r="P38" s="7">
        <f>SUM(P25:P27)*Assumptions!$C$32</f>
        <v>0.78008752058685138</v>
      </c>
      <c r="Q38" s="7">
        <f>SUM(Q25:Q27)*Assumptions!$C$32</f>
        <v>0.83877530986711124</v>
      </c>
      <c r="R38" s="7">
        <f>SUM(R25:R27)*Assumptions!$C$32</f>
        <v>0.89913775016332542</v>
      </c>
      <c r="S38" s="7">
        <f>SUM(S25:S27)*Assumptions!$C$32</f>
        <v>0.96133919728696737</v>
      </c>
      <c r="T38" s="7">
        <f>SUM(T25:T27)*Assumptions!$C$32</f>
        <v>1.0255470649514011</v>
      </c>
      <c r="U38" s="7">
        <f>SUM(U25:U27)*Assumptions!$C$32</f>
        <v>1.0919323078998509</v>
      </c>
      <c r="V38" s="7">
        <f>SUM(V25:V27)*Assumptions!$C$32</f>
        <v>1.160669908054867</v>
      </c>
      <c r="W38" s="7">
        <f>SUM(W25:W27)*Assumptions!$C$32</f>
        <v>1.2319393651929922</v>
      </c>
      <c r="X38" s="7">
        <f>SUM(X25:X27)*Assumptions!$C$32</f>
        <v>1.3059251936369594</v>
      </c>
      <c r="Y38" s="7">
        <f>SUM(Y25:Y27)*Assumptions!$C$32</f>
        <v>1.3828174264513287</v>
      </c>
      <c r="Z38" s="7">
        <f>SUM(Z25:Z27)*Assumptions!$C$32</f>
        <v>1.4628121286259348</v>
      </c>
    </row>
    <row r="39" spans="1:26" ht="16.5" customHeight="1">
      <c r="A39" s="11" t="s">
        <v>306</v>
      </c>
      <c r="B39" s="1" t="s">
        <v>96</v>
      </c>
      <c r="C39" s="7">
        <f>C35*Assumptions!$C$31</f>
        <v>0</v>
      </c>
      <c r="D39" s="7">
        <f>D35*Assumptions!$C$31</f>
        <v>6.5633999999999997</v>
      </c>
      <c r="E39" s="7">
        <f>E35*Assumptions!$C$31</f>
        <v>12.064635599999999</v>
      </c>
      <c r="F39" s="7">
        <f>F35*Assumptions!$C$31</f>
        <v>14.144444879999998</v>
      </c>
      <c r="G39" s="7">
        <f>G35*Assumptions!$C$31</f>
        <v>15.88011103248</v>
      </c>
      <c r="H39" s="7">
        <f>H35*Assumptions!$C$31</f>
        <v>17.405468298761278</v>
      </c>
      <c r="I39" s="7">
        <f>I35*Assumptions!$C$31</f>
        <v>18.79839667004256</v>
      </c>
      <c r="J39" s="7">
        <f>J35*Assumptions!$C$31</f>
        <v>20.114198368678739</v>
      </c>
      <c r="K39" s="7">
        <f>K35*Assumptions!$C$31</f>
        <v>21.392407491075904</v>
      </c>
      <c r="L39" s="7">
        <f>L35*Assumptions!$C$31</f>
        <v>22.661558765277714</v>
      </c>
      <c r="M39" s="7">
        <f>M35*Assumptions!$C$31</f>
        <v>23.94252777692904</v>
      </c>
      <c r="N39" s="7">
        <f>N35*Assumptions!$C$31</f>
        <v>25.250871316387975</v>
      </c>
      <c r="O39" s="7">
        <f>O35*Assumptions!$C$31</f>
        <v>26.59846790932594</v>
      </c>
      <c r="P39" s="7">
        <f>P35*Assumptions!$C$31</f>
        <v>27.994668580076908</v>
      </c>
      <c r="Q39" s="7">
        <f>Q35*Assumptions!$C$31</f>
        <v>29.447104888078389</v>
      </c>
      <c r="R39" s="7">
        <f>R35*Assumptions!$C$31</f>
        <v>30.96225717175594</v>
      </c>
      <c r="S39" s="7">
        <f>S35*Assumptions!$C$31</f>
        <v>32.545855060276132</v>
      </c>
      <c r="T39" s="7">
        <f>T35*Assumptions!$C$31</f>
        <v>34.203160702127256</v>
      </c>
      <c r="U39" s="7">
        <f>U35*Assumptions!$C$31</f>
        <v>35.939170031759765</v>
      </c>
      <c r="V39" s="7">
        <f>V35*Assumptions!$C$31</f>
        <v>37.758756806426327</v>
      </c>
      <c r="W39" s="7">
        <f>W35*Assumptions!$C$31</f>
        <v>39.66677673333065</v>
      </c>
      <c r="X39" s="7">
        <f>X35*Assumptions!$C$31</f>
        <v>41.668143819125895</v>
      </c>
      <c r="Y39" s="7">
        <f>Y35*Assumptions!$C$31</f>
        <v>43.767887442527588</v>
      </c>
      <c r="Z39" s="7">
        <f>Z35*Assumptions!$C$31</f>
        <v>45.971196109305502</v>
      </c>
    </row>
    <row r="40" spans="1:26" ht="16.5" customHeight="1">
      <c r="A40" s="30" t="s">
        <v>307</v>
      </c>
      <c r="B40" s="10" t="s">
        <v>96</v>
      </c>
      <c r="C40" s="29">
        <f t="shared" ref="C40:Z40" si="13">SUM(C35:C37)+C38-C39</f>
        <v>21.878</v>
      </c>
      <c r="D40" s="29">
        <f t="shared" si="13"/>
        <v>40.215451999999999</v>
      </c>
      <c r="E40" s="29">
        <f t="shared" si="13"/>
        <v>47.148149599999996</v>
      </c>
      <c r="F40" s="29">
        <f t="shared" si="13"/>
        <v>52.933703441600002</v>
      </c>
      <c r="G40" s="29">
        <f t="shared" si="13"/>
        <v>58.018227662537598</v>
      </c>
      <c r="H40" s="29">
        <f t="shared" si="13"/>
        <v>62.661322233475204</v>
      </c>
      <c r="I40" s="29">
        <f t="shared" si="13"/>
        <v>67.047327895595799</v>
      </c>
      <c r="J40" s="29">
        <f t="shared" si="13"/>
        <v>71.308024970253015</v>
      </c>
      <c r="K40" s="29">
        <f t="shared" si="13"/>
        <v>75.538529217592384</v>
      </c>
      <c r="L40" s="29">
        <f t="shared" si="13"/>
        <v>79.808425923096806</v>
      </c>
      <c r="M40" s="29">
        <f t="shared" si="13"/>
        <v>84.169571054626587</v>
      </c>
      <c r="N40" s="29">
        <f t="shared" si="13"/>
        <v>88.661559697753134</v>
      </c>
      <c r="O40" s="29">
        <f t="shared" si="13"/>
        <v>93.315561933589692</v>
      </c>
      <c r="P40" s="29">
        <f t="shared" si="13"/>
        <v>98.157016293594637</v>
      </c>
      <c r="Q40" s="29">
        <f t="shared" si="13"/>
        <v>103.20752390585314</v>
      </c>
      <c r="R40" s="29">
        <f t="shared" si="13"/>
        <v>108.48618353425377</v>
      </c>
      <c r="S40" s="29">
        <f t="shared" si="13"/>
        <v>114.01053567375752</v>
      </c>
      <c r="T40" s="29">
        <f t="shared" si="13"/>
        <v>119.79723343919923</v>
      </c>
      <c r="U40" s="29">
        <f t="shared" si="13"/>
        <v>125.86252268808775</v>
      </c>
      <c r="V40" s="29">
        <f t="shared" si="13"/>
        <v>132.22258911110217</v>
      </c>
      <c r="W40" s="29">
        <f t="shared" si="13"/>
        <v>138.89381273041965</v>
      </c>
      <c r="X40" s="29">
        <f t="shared" si="13"/>
        <v>145.89295814175864</v>
      </c>
      <c r="Y40" s="29">
        <f t="shared" si="13"/>
        <v>153.23732036435169</v>
      </c>
      <c r="Z40" s="29">
        <f t="shared" si="13"/>
        <v>160.94484023427489</v>
      </c>
    </row>
    <row r="41" spans="1:26" ht="16.5" customHeight="1">
      <c r="A41" s="1" t="s">
        <v>456</v>
      </c>
      <c r="B41" s="1" t="s">
        <v>96</v>
      </c>
      <c r="C41" s="7">
        <f>SUM(IF(0&lt;MAX(1,ROUNDUP(Assumptions!$C$9/30,0)),C12,0))</f>
        <v>0.8819999999999999</v>
      </c>
      <c r="D41" s="7">
        <f>SUM(IF(1&lt;MAX(1,ROUNDUP(Assumptions!$C$9/30,0)),C12,0),IF(0&lt;MAX(1,ROUNDUP(Assumptions!$C$9/30,0)),D12,0))</f>
        <v>7.4088000000000001E-2</v>
      </c>
      <c r="E41" s="7">
        <f>SUM(IF(2&lt;MAX(1,ROUNDUP(Assumptions!$C$9/30,0)),C12,0),IF(1&lt;MAX(1,ROUNDUP(Assumptions!$C$9/30,0)),D12,0),IF(0&lt;MAX(1,ROUNDUP(Assumptions!$C$9/30,0)),E12,0))</f>
        <v>0</v>
      </c>
      <c r="F41" s="7">
        <f>SUM(IF(3&lt;MAX(1,ROUNDUP(Assumptions!$C$9/30,0)),C12,0),IF(2&lt;MAX(1,ROUNDUP(Assumptions!$C$9/30,0)),D12,0),IF(1&lt;MAX(1,ROUNDUP(Assumptions!$C$9/30,0)),E12,0),IF(0&lt;MAX(1,ROUNDUP(Assumptions!$C$9/30,0)),F12,0))</f>
        <v>0</v>
      </c>
      <c r="G41" s="7">
        <f>SUM(IF(4&lt;MAX(1,ROUNDUP(Assumptions!$C$9/30,0)),C12,0),IF(3&lt;MAX(1,ROUNDUP(Assumptions!$C$9/30,0)),D12,0),IF(2&lt;MAX(1,ROUNDUP(Assumptions!$C$9/30,0)),E12,0),IF(1&lt;MAX(1,ROUNDUP(Assumptions!$C$9/30,0)),F12,0),IF(0&lt;MAX(1,ROUNDUP(Assumptions!$C$9/30,0)),G12,0))</f>
        <v>0</v>
      </c>
      <c r="H41" s="7">
        <f>SUM(IF(5&lt;MAX(1,ROUNDUP(Assumptions!$C$9/30,0)),C12,0),IF(4&lt;MAX(1,ROUNDUP(Assumptions!$C$9/30,0)),D12,0),IF(3&lt;MAX(1,ROUNDUP(Assumptions!$C$9/30,0)),E12,0),IF(2&lt;MAX(1,ROUNDUP(Assumptions!$C$9/30,0)),F12,0),IF(1&lt;MAX(1,ROUNDUP(Assumptions!$C$9/30,0)),G12,0),IF(0&lt;MAX(1,ROUNDUP(Assumptions!$C$9/30,0)),H12,0))</f>
        <v>0</v>
      </c>
      <c r="I41" s="7">
        <f>SUM(IF(6&lt;MAX(1,ROUNDUP(Assumptions!$C$9/30,0)),C12,0),IF(5&lt;MAX(1,ROUNDUP(Assumptions!$C$9/30,0)),D12,0),IF(4&lt;MAX(1,ROUNDUP(Assumptions!$C$9/30,0)),E12,0),IF(3&lt;MAX(1,ROUNDUP(Assumptions!$C$9/30,0)),F12,0),IF(2&lt;MAX(1,ROUNDUP(Assumptions!$C$9/30,0)),G12,0),IF(1&lt;MAX(1,ROUNDUP(Assumptions!$C$9/30,0)),H12,0),IF(0&lt;MAX(1,ROUNDUP(Assumptions!$C$9/30,0)),I12,0))</f>
        <v>0</v>
      </c>
      <c r="J41" s="7">
        <f>SUM(IF(7&lt;MAX(1,ROUNDUP(Assumptions!$C$9/30,0)),C12,0),IF(6&lt;MAX(1,ROUNDUP(Assumptions!$C$9/30,0)),D12,0),IF(5&lt;MAX(1,ROUNDUP(Assumptions!$C$9/30,0)),E12,0),IF(4&lt;MAX(1,ROUNDUP(Assumptions!$C$9/30,0)),F12,0),IF(3&lt;MAX(1,ROUNDUP(Assumptions!$C$9/30,0)),G12,0),IF(2&lt;MAX(1,ROUNDUP(Assumptions!$C$9/30,0)),H12,0),IF(1&lt;MAX(1,ROUNDUP(Assumptions!$C$9/30,0)),I12,0),IF(0&lt;MAX(1,ROUNDUP(Assumptions!$C$9/30,0)),J12,0))</f>
        <v>0</v>
      </c>
      <c r="K41" s="7">
        <f>SUM(IF(8&lt;MAX(1,ROUNDUP(Assumptions!$C$9/30,0)),C12,0),IF(7&lt;MAX(1,ROUNDUP(Assumptions!$C$9/30,0)),D12,0),IF(6&lt;MAX(1,ROUNDUP(Assumptions!$C$9/30,0)),E12,0),IF(5&lt;MAX(1,ROUNDUP(Assumptions!$C$9/30,0)),F12,0),IF(4&lt;MAX(1,ROUNDUP(Assumptions!$C$9/30,0)),G12,0),IF(3&lt;MAX(1,ROUNDUP(Assumptions!$C$9/30,0)),H12,0),IF(2&lt;MAX(1,ROUNDUP(Assumptions!$C$9/30,0)),I12,0),IF(1&lt;MAX(1,ROUNDUP(Assumptions!$C$9/30,0)),J12,0),IF(0&lt;MAX(1,ROUNDUP(Assumptions!$C$9/30,0)),K12,0))</f>
        <v>0</v>
      </c>
      <c r="L41" s="7">
        <f>SUM(IF(9&lt;MAX(1,ROUNDUP(Assumptions!$C$9/30,0)),C12,0),IF(8&lt;MAX(1,ROUNDUP(Assumptions!$C$9/30,0)),D12,0),IF(7&lt;MAX(1,ROUNDUP(Assumptions!$C$9/30,0)),E12,0),IF(6&lt;MAX(1,ROUNDUP(Assumptions!$C$9/30,0)),F12,0),IF(5&lt;MAX(1,ROUNDUP(Assumptions!$C$9/30,0)),G12,0),IF(4&lt;MAX(1,ROUNDUP(Assumptions!$C$9/30,0)),H12,0),IF(3&lt;MAX(1,ROUNDUP(Assumptions!$C$9/30,0)),I12,0),IF(2&lt;MAX(1,ROUNDUP(Assumptions!$C$9/30,0)),J12,0),IF(1&lt;MAX(1,ROUNDUP(Assumptions!$C$9/30,0)),K12,0),IF(0&lt;MAX(1,ROUNDUP(Assumptions!$C$9/30,0)),L12,0))</f>
        <v>0</v>
      </c>
      <c r="M41" s="7">
        <f>SUM(IF(10&lt;MAX(1,ROUNDUP(Assumptions!$C$9/30,0)),C12,0),IF(9&lt;MAX(1,ROUNDUP(Assumptions!$C$9/30,0)),D12,0),IF(8&lt;MAX(1,ROUNDUP(Assumptions!$C$9/30,0)),E12,0),IF(7&lt;MAX(1,ROUNDUP(Assumptions!$C$9/30,0)),F12,0),IF(6&lt;MAX(1,ROUNDUP(Assumptions!$C$9/30,0)),G12,0),IF(5&lt;MAX(1,ROUNDUP(Assumptions!$C$9/30,0)),H12,0),IF(4&lt;MAX(1,ROUNDUP(Assumptions!$C$9/30,0)),I12,0),IF(3&lt;MAX(1,ROUNDUP(Assumptions!$C$9/30,0)),J12,0),IF(2&lt;MAX(1,ROUNDUP(Assumptions!$C$9/30,0)),K12,0),IF(1&lt;MAX(1,ROUNDUP(Assumptions!$C$9/30,0)),L12,0),IF(0&lt;MAX(1,ROUNDUP(Assumptions!$C$9/30,0)),M12,0))</f>
        <v>0</v>
      </c>
      <c r="N41" s="7">
        <f>SUM(IF(11&lt;MAX(1,ROUNDUP(Assumptions!$C$9/30,0)),C12,0),IF(10&lt;MAX(1,ROUNDUP(Assumptions!$C$9/30,0)),D12,0),IF(9&lt;MAX(1,ROUNDUP(Assumptions!$C$9/30,0)),E12,0),IF(8&lt;MAX(1,ROUNDUP(Assumptions!$C$9/30,0)),F12,0),IF(7&lt;MAX(1,ROUNDUP(Assumptions!$C$9/30,0)),G12,0),IF(6&lt;MAX(1,ROUNDUP(Assumptions!$C$9/30,0)),H12,0),IF(5&lt;MAX(1,ROUNDUP(Assumptions!$C$9/30,0)),I12,0),IF(4&lt;MAX(1,ROUNDUP(Assumptions!$C$9/30,0)),J12,0),IF(3&lt;MAX(1,ROUNDUP(Assumptions!$C$9/30,0)),K12,0),IF(2&lt;MAX(1,ROUNDUP(Assumptions!$C$9/30,0)),L12,0),IF(1&lt;MAX(1,ROUNDUP(Assumptions!$C$9/30,0)),M12,0),IF(0&lt;MAX(1,ROUNDUP(Assumptions!$C$9/30,0)),N12,0))</f>
        <v>0</v>
      </c>
      <c r="O41" s="7">
        <f>SUM(IF(12&lt;MAX(1,ROUNDUP(Assumptions!$C$9/30,0)),C12,0),IF(11&lt;MAX(1,ROUNDUP(Assumptions!$C$9/30,0)),D12,0),IF(10&lt;MAX(1,ROUNDUP(Assumptions!$C$9/30,0)),E12,0),IF(9&lt;MAX(1,ROUNDUP(Assumptions!$C$9/30,0)),F12,0),IF(8&lt;MAX(1,ROUNDUP(Assumptions!$C$9/30,0)),G12,0),IF(7&lt;MAX(1,ROUNDUP(Assumptions!$C$9/30,0)),H12,0),IF(6&lt;MAX(1,ROUNDUP(Assumptions!$C$9/30,0)),I12,0),IF(5&lt;MAX(1,ROUNDUP(Assumptions!$C$9/30,0)),J12,0),IF(4&lt;MAX(1,ROUNDUP(Assumptions!$C$9/30,0)),K12,0),IF(3&lt;MAX(1,ROUNDUP(Assumptions!$C$9/30,0)),L12,0),IF(2&lt;MAX(1,ROUNDUP(Assumptions!$C$9/30,0)),M12,0),IF(1&lt;MAX(1,ROUNDUP(Assumptions!$C$9/30,0)),N12,0),IF(0&lt;MAX(1,ROUNDUP(Assumptions!$C$9/30,0)),O12,0))</f>
        <v>0</v>
      </c>
      <c r="P41" s="7">
        <f>SUM(IF(13&lt;MAX(1,ROUNDUP(Assumptions!$C$9/30,0)),C12,0),IF(12&lt;MAX(1,ROUNDUP(Assumptions!$C$9/30,0)),D12,0),IF(11&lt;MAX(1,ROUNDUP(Assumptions!$C$9/30,0)),E12,0),IF(10&lt;MAX(1,ROUNDUP(Assumptions!$C$9/30,0)),F12,0),IF(9&lt;MAX(1,ROUNDUP(Assumptions!$C$9/30,0)),G12,0),IF(8&lt;MAX(1,ROUNDUP(Assumptions!$C$9/30,0)),H12,0),IF(7&lt;MAX(1,ROUNDUP(Assumptions!$C$9/30,0)),I12,0),IF(6&lt;MAX(1,ROUNDUP(Assumptions!$C$9/30,0)),J12,0),IF(5&lt;MAX(1,ROUNDUP(Assumptions!$C$9/30,0)),K12,0),IF(4&lt;MAX(1,ROUNDUP(Assumptions!$C$9/30,0)),L12,0),IF(3&lt;MAX(1,ROUNDUP(Assumptions!$C$9/30,0)),M12,0),IF(2&lt;MAX(1,ROUNDUP(Assumptions!$C$9/30,0)),N12,0),IF(1&lt;MAX(1,ROUNDUP(Assumptions!$C$9/30,0)),O12,0),IF(0&lt;MAX(1,ROUNDUP(Assumptions!$C$9/30,0)),P12,0))</f>
        <v>0</v>
      </c>
      <c r="Q41" s="7">
        <f>SUM(IF(14&lt;MAX(1,ROUNDUP(Assumptions!$C$9/30,0)),C12,0),IF(13&lt;MAX(1,ROUNDUP(Assumptions!$C$9/30,0)),D12,0),IF(12&lt;MAX(1,ROUNDUP(Assumptions!$C$9/30,0)),E12,0),IF(11&lt;MAX(1,ROUNDUP(Assumptions!$C$9/30,0)),F12,0),IF(10&lt;MAX(1,ROUNDUP(Assumptions!$C$9/30,0)),G12,0),IF(9&lt;MAX(1,ROUNDUP(Assumptions!$C$9/30,0)),H12,0),IF(8&lt;MAX(1,ROUNDUP(Assumptions!$C$9/30,0)),I12,0),IF(7&lt;MAX(1,ROUNDUP(Assumptions!$C$9/30,0)),J12,0),IF(6&lt;MAX(1,ROUNDUP(Assumptions!$C$9/30,0)),K12,0),IF(5&lt;MAX(1,ROUNDUP(Assumptions!$C$9/30,0)),L12,0),IF(4&lt;MAX(1,ROUNDUP(Assumptions!$C$9/30,0)),M12,0),IF(3&lt;MAX(1,ROUNDUP(Assumptions!$C$9/30,0)),N12,0),IF(2&lt;MAX(1,ROUNDUP(Assumptions!$C$9/30,0)),O12,0),IF(1&lt;MAX(1,ROUNDUP(Assumptions!$C$9/30,0)),P12,0),IF(0&lt;MAX(1,ROUNDUP(Assumptions!$C$9/30,0)),Q12,0))</f>
        <v>0</v>
      </c>
      <c r="R41" s="7">
        <f>SUM(IF(15&lt;MAX(1,ROUNDUP(Assumptions!$C$9/30,0)),C12,0),IF(14&lt;MAX(1,ROUNDUP(Assumptions!$C$9/30,0)),D12,0),IF(13&lt;MAX(1,ROUNDUP(Assumptions!$C$9/30,0)),E12,0),IF(12&lt;MAX(1,ROUNDUP(Assumptions!$C$9/30,0)),F12,0),IF(11&lt;MAX(1,ROUNDUP(Assumptions!$C$9/30,0)),G12,0),IF(10&lt;MAX(1,ROUNDUP(Assumptions!$C$9/30,0)),H12,0),IF(9&lt;MAX(1,ROUNDUP(Assumptions!$C$9/30,0)),I12,0),IF(8&lt;MAX(1,ROUNDUP(Assumptions!$C$9/30,0)),J12,0),IF(7&lt;MAX(1,ROUNDUP(Assumptions!$C$9/30,0)),K12,0),IF(6&lt;MAX(1,ROUNDUP(Assumptions!$C$9/30,0)),L12,0),IF(5&lt;MAX(1,ROUNDUP(Assumptions!$C$9/30,0)),M12,0),IF(4&lt;MAX(1,ROUNDUP(Assumptions!$C$9/30,0)),N12,0),IF(3&lt;MAX(1,ROUNDUP(Assumptions!$C$9/30,0)),O12,0),IF(2&lt;MAX(1,ROUNDUP(Assumptions!$C$9/30,0)),P12,0),IF(1&lt;MAX(1,ROUNDUP(Assumptions!$C$9/30,0)),Q12,0),IF(0&lt;MAX(1,ROUNDUP(Assumptions!$C$9/30,0)),R12,0))</f>
        <v>0</v>
      </c>
      <c r="S41" s="7">
        <f>SUM(IF(16&lt;MAX(1,ROUNDUP(Assumptions!$C$9/30,0)),C12,0),IF(15&lt;MAX(1,ROUNDUP(Assumptions!$C$9/30,0)),D12,0),IF(14&lt;MAX(1,ROUNDUP(Assumptions!$C$9/30,0)),E12,0),IF(13&lt;MAX(1,ROUNDUP(Assumptions!$C$9/30,0)),F12,0),IF(12&lt;MAX(1,ROUNDUP(Assumptions!$C$9/30,0)),G12,0),IF(11&lt;MAX(1,ROUNDUP(Assumptions!$C$9/30,0)),H12,0),IF(10&lt;MAX(1,ROUNDUP(Assumptions!$C$9/30,0)),I12,0),IF(9&lt;MAX(1,ROUNDUP(Assumptions!$C$9/30,0)),J12,0),IF(8&lt;MAX(1,ROUNDUP(Assumptions!$C$9/30,0)),K12,0),IF(7&lt;MAX(1,ROUNDUP(Assumptions!$C$9/30,0)),L12,0),IF(6&lt;MAX(1,ROUNDUP(Assumptions!$C$9/30,0)),M12,0),IF(5&lt;MAX(1,ROUNDUP(Assumptions!$C$9/30,0)),N12,0),IF(4&lt;MAX(1,ROUNDUP(Assumptions!$C$9/30,0)),O12,0),IF(3&lt;MAX(1,ROUNDUP(Assumptions!$C$9/30,0)),P12,0),IF(2&lt;MAX(1,ROUNDUP(Assumptions!$C$9/30,0)),Q12,0),IF(1&lt;MAX(1,ROUNDUP(Assumptions!$C$9/30,0)),R12,0),IF(0&lt;MAX(1,ROUNDUP(Assumptions!$C$9/30,0)),S12,0))</f>
        <v>0</v>
      </c>
      <c r="T41" s="7">
        <f>SUM(IF(17&lt;MAX(1,ROUNDUP(Assumptions!$C$9/30,0)),C12,0),IF(16&lt;MAX(1,ROUNDUP(Assumptions!$C$9/30,0)),D12,0),IF(15&lt;MAX(1,ROUNDUP(Assumptions!$C$9/30,0)),E12,0),IF(14&lt;MAX(1,ROUNDUP(Assumptions!$C$9/30,0)),F12,0),IF(13&lt;MAX(1,ROUNDUP(Assumptions!$C$9/30,0)),G12,0),IF(12&lt;MAX(1,ROUNDUP(Assumptions!$C$9/30,0)),H12,0),IF(11&lt;MAX(1,ROUNDUP(Assumptions!$C$9/30,0)),I12,0),IF(10&lt;MAX(1,ROUNDUP(Assumptions!$C$9/30,0)),J12,0),IF(9&lt;MAX(1,ROUNDUP(Assumptions!$C$9/30,0)),K12,0),IF(8&lt;MAX(1,ROUNDUP(Assumptions!$C$9/30,0)),L12,0),IF(7&lt;MAX(1,ROUNDUP(Assumptions!$C$9/30,0)),M12,0),IF(6&lt;MAX(1,ROUNDUP(Assumptions!$C$9/30,0)),N12,0),IF(5&lt;MAX(1,ROUNDUP(Assumptions!$C$9/30,0)),O12,0),IF(4&lt;MAX(1,ROUNDUP(Assumptions!$C$9/30,0)),P12,0),IF(3&lt;MAX(1,ROUNDUP(Assumptions!$C$9/30,0)),Q12,0),IF(2&lt;MAX(1,ROUNDUP(Assumptions!$C$9/30,0)),R12,0),IF(1&lt;MAX(1,ROUNDUP(Assumptions!$C$9/30,0)),S12,0),IF(0&lt;MAX(1,ROUNDUP(Assumptions!$C$9/30,0)),T12,0))</f>
        <v>0</v>
      </c>
      <c r="U41" s="7">
        <f>SUM(IF(18&lt;MAX(1,ROUNDUP(Assumptions!$C$9/30,0)),C12,0),IF(17&lt;MAX(1,ROUNDUP(Assumptions!$C$9/30,0)),D12,0),IF(16&lt;MAX(1,ROUNDUP(Assumptions!$C$9/30,0)),E12,0),IF(15&lt;MAX(1,ROUNDUP(Assumptions!$C$9/30,0)),F12,0),IF(14&lt;MAX(1,ROUNDUP(Assumptions!$C$9/30,0)),G12,0),IF(13&lt;MAX(1,ROUNDUP(Assumptions!$C$9/30,0)),H12,0),IF(12&lt;MAX(1,ROUNDUP(Assumptions!$C$9/30,0)),I12,0),IF(11&lt;MAX(1,ROUNDUP(Assumptions!$C$9/30,0)),J12,0),IF(10&lt;MAX(1,ROUNDUP(Assumptions!$C$9/30,0)),K12,0),IF(9&lt;MAX(1,ROUNDUP(Assumptions!$C$9/30,0)),L12,0),IF(8&lt;MAX(1,ROUNDUP(Assumptions!$C$9/30,0)),M12,0),IF(7&lt;MAX(1,ROUNDUP(Assumptions!$C$9/30,0)),N12,0),IF(6&lt;MAX(1,ROUNDUP(Assumptions!$C$9/30,0)),O12,0),IF(5&lt;MAX(1,ROUNDUP(Assumptions!$C$9/30,0)),P12,0),IF(4&lt;MAX(1,ROUNDUP(Assumptions!$C$9/30,0)),Q12,0),IF(3&lt;MAX(1,ROUNDUP(Assumptions!$C$9/30,0)),R12,0),IF(2&lt;MAX(1,ROUNDUP(Assumptions!$C$9/30,0)),S12,0),IF(1&lt;MAX(1,ROUNDUP(Assumptions!$C$9/30,0)),T12,0),IF(0&lt;MAX(1,ROUNDUP(Assumptions!$C$9/30,0)),U12,0))</f>
        <v>0</v>
      </c>
      <c r="V41" s="7">
        <f>SUM(IF(19&lt;MAX(1,ROUNDUP(Assumptions!$C$9/30,0)),C12,0),IF(18&lt;MAX(1,ROUNDUP(Assumptions!$C$9/30,0)),D12,0),IF(17&lt;MAX(1,ROUNDUP(Assumptions!$C$9/30,0)),E12,0),IF(16&lt;MAX(1,ROUNDUP(Assumptions!$C$9/30,0)),F12,0),IF(15&lt;MAX(1,ROUNDUP(Assumptions!$C$9/30,0)),G12,0),IF(14&lt;MAX(1,ROUNDUP(Assumptions!$C$9/30,0)),H12,0),IF(13&lt;MAX(1,ROUNDUP(Assumptions!$C$9/30,0)),I12,0),IF(12&lt;MAX(1,ROUNDUP(Assumptions!$C$9/30,0)),J12,0),IF(11&lt;MAX(1,ROUNDUP(Assumptions!$C$9/30,0)),K12,0),IF(10&lt;MAX(1,ROUNDUP(Assumptions!$C$9/30,0)),L12,0),IF(9&lt;MAX(1,ROUNDUP(Assumptions!$C$9/30,0)),M12,0),IF(8&lt;MAX(1,ROUNDUP(Assumptions!$C$9/30,0)),N12,0),IF(7&lt;MAX(1,ROUNDUP(Assumptions!$C$9/30,0)),O12,0),IF(6&lt;MAX(1,ROUNDUP(Assumptions!$C$9/30,0)),P12,0),IF(5&lt;MAX(1,ROUNDUP(Assumptions!$C$9/30,0)),Q12,0),IF(4&lt;MAX(1,ROUNDUP(Assumptions!$C$9/30,0)),R12,0),IF(3&lt;MAX(1,ROUNDUP(Assumptions!$C$9/30,0)),S12,0),IF(2&lt;MAX(1,ROUNDUP(Assumptions!$C$9/30,0)),T12,0),IF(1&lt;MAX(1,ROUNDUP(Assumptions!$C$9/30,0)),U12,0),IF(0&lt;MAX(1,ROUNDUP(Assumptions!$C$9/30,0)),V12,0))</f>
        <v>0</v>
      </c>
      <c r="W41" s="7">
        <f>SUM(IF(20&lt;MAX(1,ROUNDUP(Assumptions!$C$9/30,0)),C12,0),IF(19&lt;MAX(1,ROUNDUP(Assumptions!$C$9/30,0)),D12,0),IF(18&lt;MAX(1,ROUNDUP(Assumptions!$C$9/30,0)),E12,0),IF(17&lt;MAX(1,ROUNDUP(Assumptions!$C$9/30,0)),F12,0),IF(16&lt;MAX(1,ROUNDUP(Assumptions!$C$9/30,0)),G12,0),IF(15&lt;MAX(1,ROUNDUP(Assumptions!$C$9/30,0)),H12,0),IF(14&lt;MAX(1,ROUNDUP(Assumptions!$C$9/30,0)),I12,0),IF(13&lt;MAX(1,ROUNDUP(Assumptions!$C$9/30,0)),J12,0),IF(12&lt;MAX(1,ROUNDUP(Assumptions!$C$9/30,0)),K12,0),IF(11&lt;MAX(1,ROUNDUP(Assumptions!$C$9/30,0)),L12,0),IF(10&lt;MAX(1,ROUNDUP(Assumptions!$C$9/30,0)),M12,0),IF(9&lt;MAX(1,ROUNDUP(Assumptions!$C$9/30,0)),N12,0),IF(8&lt;MAX(1,ROUNDUP(Assumptions!$C$9/30,0)),O12,0),IF(7&lt;MAX(1,ROUNDUP(Assumptions!$C$9/30,0)),P12,0),IF(6&lt;MAX(1,ROUNDUP(Assumptions!$C$9/30,0)),Q12,0),IF(5&lt;MAX(1,ROUNDUP(Assumptions!$C$9/30,0)),R12,0),IF(4&lt;MAX(1,ROUNDUP(Assumptions!$C$9/30,0)),S12,0),IF(3&lt;MAX(1,ROUNDUP(Assumptions!$C$9/30,0)),T12,0),IF(2&lt;MAX(1,ROUNDUP(Assumptions!$C$9/30,0)),U12,0),IF(1&lt;MAX(1,ROUNDUP(Assumptions!$C$9/30,0)),V12,0),IF(0&lt;MAX(1,ROUNDUP(Assumptions!$C$9/30,0)),W12,0))</f>
        <v>0</v>
      </c>
      <c r="X41" s="7">
        <f>SUM(IF(21&lt;MAX(1,ROUNDUP(Assumptions!$C$9/30,0)),C12,0),IF(20&lt;MAX(1,ROUNDUP(Assumptions!$C$9/30,0)),D12,0),IF(19&lt;MAX(1,ROUNDUP(Assumptions!$C$9/30,0)),E12,0),IF(18&lt;MAX(1,ROUNDUP(Assumptions!$C$9/30,0)),F12,0),IF(17&lt;MAX(1,ROUNDUP(Assumptions!$C$9/30,0)),G12,0),IF(16&lt;MAX(1,ROUNDUP(Assumptions!$C$9/30,0)),H12,0),IF(15&lt;MAX(1,ROUNDUP(Assumptions!$C$9/30,0)),I12,0),IF(14&lt;MAX(1,ROUNDUP(Assumptions!$C$9/30,0)),J12,0),IF(13&lt;MAX(1,ROUNDUP(Assumptions!$C$9/30,0)),K12,0),IF(12&lt;MAX(1,ROUNDUP(Assumptions!$C$9/30,0)),L12,0),IF(11&lt;MAX(1,ROUNDUP(Assumptions!$C$9/30,0)),M12,0),IF(10&lt;MAX(1,ROUNDUP(Assumptions!$C$9/30,0)),N12,0),IF(9&lt;MAX(1,ROUNDUP(Assumptions!$C$9/30,0)),O12,0),IF(8&lt;MAX(1,ROUNDUP(Assumptions!$C$9/30,0)),P12,0),IF(7&lt;MAX(1,ROUNDUP(Assumptions!$C$9/30,0)),Q12,0),IF(6&lt;MAX(1,ROUNDUP(Assumptions!$C$9/30,0)),R12,0),IF(5&lt;MAX(1,ROUNDUP(Assumptions!$C$9/30,0)),S12,0),IF(4&lt;MAX(1,ROUNDUP(Assumptions!$C$9/30,0)),T12,0),IF(3&lt;MAX(1,ROUNDUP(Assumptions!$C$9/30,0)),U12,0),IF(2&lt;MAX(1,ROUNDUP(Assumptions!$C$9/30,0)),V12,0),IF(1&lt;MAX(1,ROUNDUP(Assumptions!$C$9/30,0)),W12,0),IF(0&lt;MAX(1,ROUNDUP(Assumptions!$C$9/30,0)),X12,0))</f>
        <v>0</v>
      </c>
      <c r="Y41" s="7">
        <f>SUM(IF(22&lt;MAX(1,ROUNDUP(Assumptions!$C$9/30,0)),C12,0),IF(21&lt;MAX(1,ROUNDUP(Assumptions!$C$9/30,0)),D12,0),IF(20&lt;MAX(1,ROUNDUP(Assumptions!$C$9/30,0)),E12,0),IF(19&lt;MAX(1,ROUNDUP(Assumptions!$C$9/30,0)),F12,0),IF(18&lt;MAX(1,ROUNDUP(Assumptions!$C$9/30,0)),G12,0),IF(17&lt;MAX(1,ROUNDUP(Assumptions!$C$9/30,0)),H12,0),IF(16&lt;MAX(1,ROUNDUP(Assumptions!$C$9/30,0)),I12,0),IF(15&lt;MAX(1,ROUNDUP(Assumptions!$C$9/30,0)),J12,0),IF(14&lt;MAX(1,ROUNDUP(Assumptions!$C$9/30,0)),K12,0),IF(13&lt;MAX(1,ROUNDUP(Assumptions!$C$9/30,0)),L12,0),IF(12&lt;MAX(1,ROUNDUP(Assumptions!$C$9/30,0)),M12,0),IF(11&lt;MAX(1,ROUNDUP(Assumptions!$C$9/30,0)),N12,0),IF(10&lt;MAX(1,ROUNDUP(Assumptions!$C$9/30,0)),O12,0),IF(9&lt;MAX(1,ROUNDUP(Assumptions!$C$9/30,0)),P12,0),IF(8&lt;MAX(1,ROUNDUP(Assumptions!$C$9/30,0)),Q12,0),IF(7&lt;MAX(1,ROUNDUP(Assumptions!$C$9/30,0)),R12,0),IF(6&lt;MAX(1,ROUNDUP(Assumptions!$C$9/30,0)),S12,0),IF(5&lt;MAX(1,ROUNDUP(Assumptions!$C$9/30,0)),T12,0),IF(4&lt;MAX(1,ROUNDUP(Assumptions!$C$9/30,0)),U12,0),IF(3&lt;MAX(1,ROUNDUP(Assumptions!$C$9/30,0)),V12,0),IF(2&lt;MAX(1,ROUNDUP(Assumptions!$C$9/30,0)),W12,0),IF(1&lt;MAX(1,ROUNDUP(Assumptions!$C$9/30,0)),X12,0),IF(0&lt;MAX(1,ROUNDUP(Assumptions!$C$9/30,0)),Y12,0))</f>
        <v>0</v>
      </c>
      <c r="Z41" s="7">
        <f>SUM(IF(23&lt;MAX(1,ROUNDUP(Assumptions!$C$9/30,0)),C12,0),IF(22&lt;MAX(1,ROUNDUP(Assumptions!$C$9/30,0)),D12,0),IF(21&lt;MAX(1,ROUNDUP(Assumptions!$C$9/30,0)),E12,0),IF(20&lt;MAX(1,ROUNDUP(Assumptions!$C$9/30,0)),F12,0),IF(19&lt;MAX(1,ROUNDUP(Assumptions!$C$9/30,0)),G12,0),IF(18&lt;MAX(1,ROUNDUP(Assumptions!$C$9/30,0)),H12,0),IF(17&lt;MAX(1,ROUNDUP(Assumptions!$C$9/30,0)),I12,0),IF(16&lt;MAX(1,ROUNDUP(Assumptions!$C$9/30,0)),J12,0),IF(15&lt;MAX(1,ROUNDUP(Assumptions!$C$9/30,0)),K12,0),IF(14&lt;MAX(1,ROUNDUP(Assumptions!$C$9/30,0)),L12,0),IF(13&lt;MAX(1,ROUNDUP(Assumptions!$C$9/30,0)),M12,0),IF(12&lt;MAX(1,ROUNDUP(Assumptions!$C$9/30,0)),N12,0),IF(11&lt;MAX(1,ROUNDUP(Assumptions!$C$9/30,0)),O12,0),IF(10&lt;MAX(1,ROUNDUP(Assumptions!$C$9/30,0)),P12,0),IF(9&lt;MAX(1,ROUNDUP(Assumptions!$C$9/30,0)),Q12,0),IF(8&lt;MAX(1,ROUNDUP(Assumptions!$C$9/30,0)),R12,0),IF(7&lt;MAX(1,ROUNDUP(Assumptions!$C$9/30,0)),S12,0),IF(6&lt;MAX(1,ROUNDUP(Assumptions!$C$9/30,0)),T12,0),IF(5&lt;MAX(1,ROUNDUP(Assumptions!$C$9/30,0)),U12,0),IF(4&lt;MAX(1,ROUNDUP(Assumptions!$C$9/30,0)),V12,0),IF(3&lt;MAX(1,ROUNDUP(Assumptions!$C$9/30,0)),W12,0),IF(2&lt;MAX(1,ROUNDUP(Assumptions!$C$9/30,0)),X12,0),IF(1&lt;MAX(1,ROUNDUP(Assumptions!$C$9/30,0)),Y12,0),IF(0&lt;MAX(1,ROUNDUP(Assumptions!$C$9/30,0)),Z12,0))</f>
        <v>0</v>
      </c>
    </row>
    <row r="42" spans="1:26" ht="16.5" customHeight="1">
      <c r="A42" s="1" t="s">
        <v>308</v>
      </c>
      <c r="B42" s="1" t="s">
        <v>96</v>
      </c>
      <c r="C42" s="7">
        <f>IF(0&lt;Assumptions!$C$12,$C$8,0)</f>
        <v>10.5</v>
      </c>
      <c r="D42" s="7">
        <f>IF(1&lt;Assumptions!$C$12,$C$8,0)</f>
        <v>0</v>
      </c>
      <c r="E42" s="7">
        <f>IF(2&lt;Assumptions!$C$12,$C$8,0)</f>
        <v>0</v>
      </c>
      <c r="F42" s="7">
        <f>IF(3&lt;Assumptions!$C$12,$C$8,0)</f>
        <v>0</v>
      </c>
      <c r="G42" s="7">
        <f>IF(4&lt;Assumptions!$C$12,$C$8,0)</f>
        <v>0</v>
      </c>
      <c r="H42" s="7">
        <f>IF(5&lt;Assumptions!$C$12,$C$8,0)</f>
        <v>0</v>
      </c>
      <c r="I42" s="7">
        <f>IF(6&lt;Assumptions!$C$12,$C$8,0)</f>
        <v>0</v>
      </c>
      <c r="J42" s="7">
        <f>IF(7&lt;Assumptions!$C$12,$C$8,0)</f>
        <v>0</v>
      </c>
      <c r="K42" s="7">
        <f>IF(8&lt;Assumptions!$C$12,$C$8,0)</f>
        <v>0</v>
      </c>
      <c r="L42" s="7">
        <f>IF(9&lt;Assumptions!$C$12,$C$8,0)</f>
        <v>0</v>
      </c>
      <c r="M42" s="7">
        <f>IF(10&lt;Assumptions!$C$12,$C$8,0)</f>
        <v>0</v>
      </c>
      <c r="N42" s="7">
        <f>IF(11&lt;Assumptions!$C$12,$C$8,0)</f>
        <v>0</v>
      </c>
      <c r="O42" s="7">
        <f>IF(12&lt;Assumptions!$C$12,$C$8,0)</f>
        <v>0</v>
      </c>
      <c r="P42" s="7">
        <f>IF(13&lt;Assumptions!$C$12,$C$8,0)</f>
        <v>0</v>
      </c>
      <c r="Q42" s="7">
        <f>IF(14&lt;Assumptions!$C$12,$C$8,0)</f>
        <v>0</v>
      </c>
      <c r="R42" s="7">
        <f>IF(15&lt;Assumptions!$C$12,$C$8,0)</f>
        <v>0</v>
      </c>
      <c r="S42" s="7">
        <f>IF(16&lt;Assumptions!$C$12,$C$8,0)</f>
        <v>0</v>
      </c>
      <c r="T42" s="7">
        <f>IF(17&lt;Assumptions!$C$12,$C$8,0)</f>
        <v>0</v>
      </c>
      <c r="U42" s="7">
        <f>IF(18&lt;Assumptions!$C$12,$C$8,0)</f>
        <v>0</v>
      </c>
      <c r="V42" s="7">
        <f>IF(19&lt;Assumptions!$C$12,$C$8,0)</f>
        <v>0</v>
      </c>
      <c r="W42" s="7">
        <f>IF(20&lt;Assumptions!$C$12,$C$8,0)</f>
        <v>0</v>
      </c>
      <c r="X42" s="7">
        <f>IF(21&lt;Assumptions!$C$12,$C$8,0)</f>
        <v>0</v>
      </c>
      <c r="Y42" s="7">
        <f>IF(22&lt;Assumptions!$C$12,$C$8,0)</f>
        <v>0</v>
      </c>
      <c r="Z42" s="7">
        <f>IF(23&lt;Assumptions!$C$12,$C$8,0)</f>
        <v>0</v>
      </c>
    </row>
    <row r="43" spans="1:26" ht="16.5" customHeight="1">
      <c r="A43" s="1" t="s">
        <v>309</v>
      </c>
      <c r="B43" s="1" t="s">
        <v>96</v>
      </c>
      <c r="C43" s="7">
        <f>C10*(Assumptions!$C$22*Assumptions!$C$23)^Assumptions!$C$11</f>
        <v>9.2609999999999984E-2</v>
      </c>
      <c r="D43" s="7">
        <f>D10*(Assumptions!$C$22*Assumptions!$C$23)^Assumptions!$C$11</f>
        <v>7.7792399999999989E-3</v>
      </c>
      <c r="E43" s="7">
        <f>E10*(Assumptions!$C$22*Assumptions!$C$23)^Assumptions!$C$11</f>
        <v>0</v>
      </c>
      <c r="F43" s="7">
        <f>F10*(Assumptions!$C$22*Assumptions!$C$23)^Assumptions!$C$11</f>
        <v>0</v>
      </c>
      <c r="G43" s="7">
        <f>G10*(Assumptions!$C$22*Assumptions!$C$23)^Assumptions!$C$11</f>
        <v>0</v>
      </c>
      <c r="H43" s="7">
        <f>H10*(Assumptions!$C$22*Assumptions!$C$23)^Assumptions!$C$11</f>
        <v>0</v>
      </c>
      <c r="I43" s="7">
        <f>I10*(Assumptions!$C$22*Assumptions!$C$23)^Assumptions!$C$11</f>
        <v>0</v>
      </c>
      <c r="J43" s="7">
        <f>J10*(Assumptions!$C$22*Assumptions!$C$23)^Assumptions!$C$11</f>
        <v>0</v>
      </c>
      <c r="K43" s="7">
        <f>K10*(Assumptions!$C$22*Assumptions!$C$23)^Assumptions!$C$11</f>
        <v>0</v>
      </c>
      <c r="L43" s="7">
        <f>L10*(Assumptions!$C$22*Assumptions!$C$23)^Assumptions!$C$11</f>
        <v>0</v>
      </c>
      <c r="M43" s="7">
        <f>M10*(Assumptions!$C$22*Assumptions!$C$23)^Assumptions!$C$11</f>
        <v>0</v>
      </c>
      <c r="N43" s="7">
        <f>N10*(Assumptions!$C$22*Assumptions!$C$23)^Assumptions!$C$11</f>
        <v>0</v>
      </c>
      <c r="O43" s="7">
        <f>O10*(Assumptions!$C$22*Assumptions!$C$23)^Assumptions!$C$11</f>
        <v>0</v>
      </c>
      <c r="P43" s="7">
        <f>P10*(Assumptions!$C$22*Assumptions!$C$23)^Assumptions!$C$11</f>
        <v>0</v>
      </c>
      <c r="Q43" s="7">
        <f>Q10*(Assumptions!$C$22*Assumptions!$C$23)^Assumptions!$C$11</f>
        <v>0</v>
      </c>
      <c r="R43" s="7">
        <f>R10*(Assumptions!$C$22*Assumptions!$C$23)^Assumptions!$C$11</f>
        <v>0</v>
      </c>
      <c r="S43" s="7">
        <f>S10*(Assumptions!$C$22*Assumptions!$C$23)^Assumptions!$C$11</f>
        <v>0</v>
      </c>
      <c r="T43" s="7">
        <f>T10*(Assumptions!$C$22*Assumptions!$C$23)^Assumptions!$C$11</f>
        <v>0</v>
      </c>
      <c r="U43" s="7">
        <f>U10*(Assumptions!$C$22*Assumptions!$C$23)^Assumptions!$C$11</f>
        <v>0</v>
      </c>
      <c r="V43" s="7">
        <f>V10*(Assumptions!$C$22*Assumptions!$C$23)^Assumptions!$C$11</f>
        <v>0</v>
      </c>
      <c r="W43" s="7">
        <f>W10*(Assumptions!$C$22*Assumptions!$C$23)^Assumptions!$C$11</f>
        <v>0</v>
      </c>
      <c r="X43" s="7">
        <f>X10*(Assumptions!$C$22*Assumptions!$C$23)^Assumptions!$C$11</f>
        <v>0</v>
      </c>
      <c r="Y43" s="7">
        <f>Y10*(Assumptions!$C$22*Assumptions!$C$23)^Assumptions!$C$11</f>
        <v>0</v>
      </c>
      <c r="Z43" s="7">
        <f>Z10*(Assumptions!$C$22*Assumptions!$C$23)^Assumptions!$C$11</f>
        <v>0</v>
      </c>
    </row>
    <row r="44" spans="1:26" ht="16.5" customHeight="1">
      <c r="A44" s="1" t="s">
        <v>310</v>
      </c>
      <c r="B44" s="1" t="s">
        <v>96</v>
      </c>
      <c r="C44" s="7">
        <f>0</f>
        <v>0</v>
      </c>
      <c r="D44" s="7">
        <f>MIN(SUM(IF(1&lt;=Assumptions!$C$13,C43,0))*Assumptions!$C$36,D34)</f>
        <v>6.4826999999999982E-2</v>
      </c>
      <c r="E44" s="7">
        <f>MIN(SUM(IF(2&lt;=Assumptions!$C$13,C43,0),IF(1&lt;=Assumptions!$C$13,D43,0))*Assumptions!$C$36,E34)</f>
        <v>5.4454679999999993E-3</v>
      </c>
      <c r="F44" s="7">
        <f>MIN(SUM(IF(3&lt;=Assumptions!$C$13,C43,0),IF(2&lt;=Assumptions!$C$13,D43,0),IF(1&lt;=Assumptions!$C$13,E43,0))*Assumptions!$C$36,F34)</f>
        <v>0</v>
      </c>
      <c r="G44" s="7">
        <f>MIN(SUM(IF(4&lt;=Assumptions!$C$13,C43,0),IF(3&lt;=Assumptions!$C$13,D43,0),IF(2&lt;=Assumptions!$C$13,E43,0),IF(1&lt;=Assumptions!$C$13,F43,0))*Assumptions!$C$36,G34)</f>
        <v>0</v>
      </c>
      <c r="H44" s="7">
        <f>MIN(SUM(IF(5&lt;=Assumptions!$C$13,C43,0),IF(4&lt;=Assumptions!$C$13,D43,0),IF(3&lt;=Assumptions!$C$13,E43,0),IF(2&lt;=Assumptions!$C$13,F43,0),IF(1&lt;=Assumptions!$C$13,G43,0))*Assumptions!$C$36,H34)</f>
        <v>0</v>
      </c>
      <c r="I44" s="7">
        <f>MIN(SUM(IF(6&lt;=Assumptions!$C$13,C43,0),IF(5&lt;=Assumptions!$C$13,D43,0),IF(4&lt;=Assumptions!$C$13,E43,0),IF(3&lt;=Assumptions!$C$13,F43,0),IF(2&lt;=Assumptions!$C$13,G43,0),IF(1&lt;=Assumptions!$C$13,H43,0))*Assumptions!$C$36,I34)</f>
        <v>0</v>
      </c>
      <c r="J44" s="7">
        <f>MIN(SUM(IF(7&lt;=Assumptions!$C$13,C43,0),IF(6&lt;=Assumptions!$C$13,D43,0),IF(5&lt;=Assumptions!$C$13,E43,0),IF(4&lt;=Assumptions!$C$13,F43,0),IF(3&lt;=Assumptions!$C$13,G43,0),IF(2&lt;=Assumptions!$C$13,H43,0),IF(1&lt;=Assumptions!$C$13,I43,0))*Assumptions!$C$36,J34)</f>
        <v>0</v>
      </c>
      <c r="K44" s="7">
        <f>MIN(SUM(IF(8&lt;=Assumptions!$C$13,C43,0),IF(7&lt;=Assumptions!$C$13,D43,0),IF(6&lt;=Assumptions!$C$13,E43,0),IF(5&lt;=Assumptions!$C$13,F43,0),IF(4&lt;=Assumptions!$C$13,G43,0),IF(3&lt;=Assumptions!$C$13,H43,0),IF(2&lt;=Assumptions!$C$13,I43,0),IF(1&lt;=Assumptions!$C$13,J43,0))*Assumptions!$C$36,K34)</f>
        <v>0</v>
      </c>
      <c r="L44" s="7">
        <f>MIN(SUM(IF(9&lt;=Assumptions!$C$13,C43,0),IF(8&lt;=Assumptions!$C$13,D43,0),IF(7&lt;=Assumptions!$C$13,E43,0),IF(6&lt;=Assumptions!$C$13,F43,0),IF(5&lt;=Assumptions!$C$13,G43,0),IF(4&lt;=Assumptions!$C$13,H43,0),IF(3&lt;=Assumptions!$C$13,I43,0),IF(2&lt;=Assumptions!$C$13,J43,0),IF(1&lt;=Assumptions!$C$13,K43,0))*Assumptions!$C$36,L34)</f>
        <v>0</v>
      </c>
      <c r="M44" s="7">
        <f>MIN(SUM(IF(10&lt;=Assumptions!$C$13,C43,0),IF(9&lt;=Assumptions!$C$13,D43,0),IF(8&lt;=Assumptions!$C$13,E43,0),IF(7&lt;=Assumptions!$C$13,F43,0),IF(6&lt;=Assumptions!$C$13,G43,0),IF(5&lt;=Assumptions!$C$13,H43,0),IF(4&lt;=Assumptions!$C$13,I43,0),IF(3&lt;=Assumptions!$C$13,J43,0),IF(2&lt;=Assumptions!$C$13,K43,0),IF(1&lt;=Assumptions!$C$13,L43,0))*Assumptions!$C$36,M34)</f>
        <v>0</v>
      </c>
      <c r="N44" s="7">
        <f>MIN(SUM(IF(11&lt;=Assumptions!$C$13,C43,0),IF(10&lt;=Assumptions!$C$13,D43,0),IF(9&lt;=Assumptions!$C$13,E43,0),IF(8&lt;=Assumptions!$C$13,F43,0),IF(7&lt;=Assumptions!$C$13,G43,0),IF(6&lt;=Assumptions!$C$13,H43,0),IF(5&lt;=Assumptions!$C$13,I43,0),IF(4&lt;=Assumptions!$C$13,J43,0),IF(3&lt;=Assumptions!$C$13,K43,0),IF(2&lt;=Assumptions!$C$13,L43,0),IF(1&lt;=Assumptions!$C$13,M43,0))*Assumptions!$C$36,N34)</f>
        <v>0</v>
      </c>
      <c r="O44" s="7">
        <f>MIN(SUM(IF(12&lt;=Assumptions!$C$13,C43,0),IF(11&lt;=Assumptions!$C$13,D43,0),IF(10&lt;=Assumptions!$C$13,E43,0),IF(9&lt;=Assumptions!$C$13,F43,0),IF(8&lt;=Assumptions!$C$13,G43,0),IF(7&lt;=Assumptions!$C$13,H43,0),IF(6&lt;=Assumptions!$C$13,I43,0),IF(5&lt;=Assumptions!$C$13,J43,0),IF(4&lt;=Assumptions!$C$13,K43,0),IF(3&lt;=Assumptions!$C$13,L43,0),IF(2&lt;=Assumptions!$C$13,M43,0),IF(1&lt;=Assumptions!$C$13,N43,0))*Assumptions!$C$36,O34)</f>
        <v>0</v>
      </c>
      <c r="P44" s="7">
        <f>MIN(SUM(IF(13&lt;=Assumptions!$C$13,C43,0),IF(12&lt;=Assumptions!$C$13,D43,0),IF(11&lt;=Assumptions!$C$13,E43,0),IF(10&lt;=Assumptions!$C$13,F43,0),IF(9&lt;=Assumptions!$C$13,G43,0),IF(8&lt;=Assumptions!$C$13,H43,0),IF(7&lt;=Assumptions!$C$13,I43,0),IF(6&lt;=Assumptions!$C$13,J43,0),IF(5&lt;=Assumptions!$C$13,K43,0),IF(4&lt;=Assumptions!$C$13,L43,0),IF(3&lt;=Assumptions!$C$13,M43,0),IF(2&lt;=Assumptions!$C$13,N43,0),IF(1&lt;=Assumptions!$C$13,O43,0))*Assumptions!$C$36,P34)</f>
        <v>0</v>
      </c>
      <c r="Q44" s="7">
        <f>MIN(SUM(IF(14&lt;=Assumptions!$C$13,C43,0),IF(13&lt;=Assumptions!$C$13,D43,0),IF(12&lt;=Assumptions!$C$13,E43,0),IF(11&lt;=Assumptions!$C$13,F43,0),IF(10&lt;=Assumptions!$C$13,G43,0),IF(9&lt;=Assumptions!$C$13,H43,0),IF(8&lt;=Assumptions!$C$13,I43,0),IF(7&lt;=Assumptions!$C$13,J43,0),IF(6&lt;=Assumptions!$C$13,K43,0),IF(5&lt;=Assumptions!$C$13,L43,0),IF(4&lt;=Assumptions!$C$13,M43,0),IF(3&lt;=Assumptions!$C$13,N43,0),IF(2&lt;=Assumptions!$C$13,O43,0),IF(1&lt;=Assumptions!$C$13,P43,0))*Assumptions!$C$36,Q34)</f>
        <v>0</v>
      </c>
      <c r="R44" s="7">
        <f>MIN(SUM(IF(15&lt;=Assumptions!$C$13,C43,0),IF(14&lt;=Assumptions!$C$13,D43,0),IF(13&lt;=Assumptions!$C$13,E43,0),IF(12&lt;=Assumptions!$C$13,F43,0),IF(11&lt;=Assumptions!$C$13,G43,0),IF(10&lt;=Assumptions!$C$13,H43,0),IF(9&lt;=Assumptions!$C$13,I43,0),IF(8&lt;=Assumptions!$C$13,J43,0),IF(7&lt;=Assumptions!$C$13,K43,0),IF(6&lt;=Assumptions!$C$13,L43,0),IF(5&lt;=Assumptions!$C$13,M43,0),IF(4&lt;=Assumptions!$C$13,N43,0),IF(3&lt;=Assumptions!$C$13,O43,0),IF(2&lt;=Assumptions!$C$13,P43,0),IF(1&lt;=Assumptions!$C$13,Q43,0))*Assumptions!$C$36,R34)</f>
        <v>0</v>
      </c>
      <c r="S44" s="7">
        <f>MIN(SUM(IF(16&lt;=Assumptions!$C$13,C43,0),IF(15&lt;=Assumptions!$C$13,D43,0),IF(14&lt;=Assumptions!$C$13,E43,0),IF(13&lt;=Assumptions!$C$13,F43,0),IF(12&lt;=Assumptions!$C$13,G43,0),IF(11&lt;=Assumptions!$C$13,H43,0),IF(10&lt;=Assumptions!$C$13,I43,0),IF(9&lt;=Assumptions!$C$13,J43,0),IF(8&lt;=Assumptions!$C$13,K43,0),IF(7&lt;=Assumptions!$C$13,L43,0),IF(6&lt;=Assumptions!$C$13,M43,0),IF(5&lt;=Assumptions!$C$13,N43,0),IF(4&lt;=Assumptions!$C$13,O43,0),IF(3&lt;=Assumptions!$C$13,P43,0),IF(2&lt;=Assumptions!$C$13,Q43,0),IF(1&lt;=Assumptions!$C$13,R43,0))*Assumptions!$C$36,S34)</f>
        <v>0</v>
      </c>
      <c r="T44" s="7">
        <f>MIN(SUM(IF(17&lt;=Assumptions!$C$13,C43,0),IF(16&lt;=Assumptions!$C$13,D43,0),IF(15&lt;=Assumptions!$C$13,E43,0),IF(14&lt;=Assumptions!$C$13,F43,0),IF(13&lt;=Assumptions!$C$13,G43,0),IF(12&lt;=Assumptions!$C$13,H43,0),IF(11&lt;=Assumptions!$C$13,I43,0),IF(10&lt;=Assumptions!$C$13,J43,0),IF(9&lt;=Assumptions!$C$13,K43,0),IF(8&lt;=Assumptions!$C$13,L43,0),IF(7&lt;=Assumptions!$C$13,M43,0),IF(6&lt;=Assumptions!$C$13,N43,0),IF(5&lt;=Assumptions!$C$13,O43,0),IF(4&lt;=Assumptions!$C$13,P43,0),IF(3&lt;=Assumptions!$C$13,Q43,0),IF(2&lt;=Assumptions!$C$13,R43,0),IF(1&lt;=Assumptions!$C$13,S43,0))*Assumptions!$C$36,T34)</f>
        <v>0</v>
      </c>
      <c r="U44" s="7">
        <f>MIN(SUM(IF(18&lt;=Assumptions!$C$13,C43,0),IF(17&lt;=Assumptions!$C$13,D43,0),IF(16&lt;=Assumptions!$C$13,E43,0),IF(15&lt;=Assumptions!$C$13,F43,0),IF(14&lt;=Assumptions!$C$13,G43,0),IF(13&lt;=Assumptions!$C$13,H43,0),IF(12&lt;=Assumptions!$C$13,I43,0),IF(11&lt;=Assumptions!$C$13,J43,0),IF(10&lt;=Assumptions!$C$13,K43,0),IF(9&lt;=Assumptions!$C$13,L43,0),IF(8&lt;=Assumptions!$C$13,M43,0),IF(7&lt;=Assumptions!$C$13,N43,0),IF(6&lt;=Assumptions!$C$13,O43,0),IF(5&lt;=Assumptions!$C$13,P43,0),IF(4&lt;=Assumptions!$C$13,Q43,0),IF(3&lt;=Assumptions!$C$13,R43,0),IF(2&lt;=Assumptions!$C$13,S43,0),IF(1&lt;=Assumptions!$C$13,T43,0))*Assumptions!$C$36,U34)</f>
        <v>0</v>
      </c>
      <c r="V44" s="7">
        <f>MIN(SUM(IF(19&lt;=Assumptions!$C$13,C43,0),IF(18&lt;=Assumptions!$C$13,D43,0),IF(17&lt;=Assumptions!$C$13,E43,0),IF(16&lt;=Assumptions!$C$13,F43,0),IF(15&lt;=Assumptions!$C$13,G43,0),IF(14&lt;=Assumptions!$C$13,H43,0),IF(13&lt;=Assumptions!$C$13,I43,0),IF(12&lt;=Assumptions!$C$13,J43,0),IF(11&lt;=Assumptions!$C$13,K43,0),IF(10&lt;=Assumptions!$C$13,L43,0),IF(9&lt;=Assumptions!$C$13,M43,0),IF(8&lt;=Assumptions!$C$13,N43,0),IF(7&lt;=Assumptions!$C$13,O43,0),IF(6&lt;=Assumptions!$C$13,P43,0),IF(5&lt;=Assumptions!$C$13,Q43,0),IF(4&lt;=Assumptions!$C$13,R43,0),IF(3&lt;=Assumptions!$C$13,S43,0),IF(2&lt;=Assumptions!$C$13,T43,0),IF(1&lt;=Assumptions!$C$13,U43,0))*Assumptions!$C$36,V34)</f>
        <v>0</v>
      </c>
      <c r="W44" s="7">
        <f>MIN(SUM(IF(20&lt;=Assumptions!$C$13,C43,0),IF(19&lt;=Assumptions!$C$13,D43,0),IF(18&lt;=Assumptions!$C$13,E43,0),IF(17&lt;=Assumptions!$C$13,F43,0),IF(16&lt;=Assumptions!$C$13,G43,0),IF(15&lt;=Assumptions!$C$13,H43,0),IF(14&lt;=Assumptions!$C$13,I43,0),IF(13&lt;=Assumptions!$C$13,J43,0),IF(12&lt;=Assumptions!$C$13,K43,0),IF(11&lt;=Assumptions!$C$13,L43,0),IF(10&lt;=Assumptions!$C$13,M43,0),IF(9&lt;=Assumptions!$C$13,N43,0),IF(8&lt;=Assumptions!$C$13,O43,0),IF(7&lt;=Assumptions!$C$13,P43,0),IF(6&lt;=Assumptions!$C$13,Q43,0),IF(5&lt;=Assumptions!$C$13,R43,0),IF(4&lt;=Assumptions!$C$13,S43,0),IF(3&lt;=Assumptions!$C$13,T43,0),IF(2&lt;=Assumptions!$C$13,U43,0),IF(1&lt;=Assumptions!$C$13,V43,0))*Assumptions!$C$36,W34)</f>
        <v>0</v>
      </c>
      <c r="X44" s="7">
        <f>MIN(SUM(IF(21&lt;=Assumptions!$C$13,C43,0),IF(20&lt;=Assumptions!$C$13,D43,0),IF(19&lt;=Assumptions!$C$13,E43,0),IF(18&lt;=Assumptions!$C$13,F43,0),IF(17&lt;=Assumptions!$C$13,G43,0),IF(16&lt;=Assumptions!$C$13,H43,0),IF(15&lt;=Assumptions!$C$13,I43,0),IF(14&lt;=Assumptions!$C$13,J43,0),IF(13&lt;=Assumptions!$C$13,K43,0),IF(12&lt;=Assumptions!$C$13,L43,0),IF(11&lt;=Assumptions!$C$13,M43,0),IF(10&lt;=Assumptions!$C$13,N43,0),IF(9&lt;=Assumptions!$C$13,O43,0),IF(8&lt;=Assumptions!$C$13,P43,0),IF(7&lt;=Assumptions!$C$13,Q43,0),IF(6&lt;=Assumptions!$C$13,R43,0),IF(5&lt;=Assumptions!$C$13,S43,0),IF(4&lt;=Assumptions!$C$13,T43,0),IF(3&lt;=Assumptions!$C$13,U43,0),IF(2&lt;=Assumptions!$C$13,V43,0),IF(1&lt;=Assumptions!$C$13,W43,0))*Assumptions!$C$36,X34)</f>
        <v>0</v>
      </c>
      <c r="Y44" s="7">
        <f>MIN(SUM(IF(22&lt;=Assumptions!$C$13,C43,0),IF(21&lt;=Assumptions!$C$13,D43,0),IF(20&lt;=Assumptions!$C$13,E43,0),IF(19&lt;=Assumptions!$C$13,F43,0),IF(18&lt;=Assumptions!$C$13,G43,0),IF(17&lt;=Assumptions!$C$13,H43,0),IF(16&lt;=Assumptions!$C$13,I43,0),IF(15&lt;=Assumptions!$C$13,J43,0),IF(14&lt;=Assumptions!$C$13,K43,0),IF(13&lt;=Assumptions!$C$13,L43,0),IF(12&lt;=Assumptions!$C$13,M43,0),IF(11&lt;=Assumptions!$C$13,N43,0),IF(10&lt;=Assumptions!$C$13,O43,0),IF(9&lt;=Assumptions!$C$13,P43,0),IF(8&lt;=Assumptions!$C$13,Q43,0),IF(7&lt;=Assumptions!$C$13,R43,0),IF(6&lt;=Assumptions!$C$13,S43,0),IF(5&lt;=Assumptions!$C$13,T43,0),IF(4&lt;=Assumptions!$C$13,U43,0),IF(3&lt;=Assumptions!$C$13,V43,0),IF(2&lt;=Assumptions!$C$13,W43,0),IF(1&lt;=Assumptions!$C$13,X43,0))*Assumptions!$C$36,Y34)</f>
        <v>0</v>
      </c>
      <c r="Z44" s="7">
        <f>MIN(SUM(IF(23&lt;=Assumptions!$C$13,C43,0),IF(22&lt;=Assumptions!$C$13,D43,0),IF(21&lt;=Assumptions!$C$13,E43,0),IF(20&lt;=Assumptions!$C$13,F43,0),IF(19&lt;=Assumptions!$C$13,G43,0),IF(18&lt;=Assumptions!$C$13,H43,0),IF(17&lt;=Assumptions!$C$13,I43,0),IF(16&lt;=Assumptions!$C$13,J43,0),IF(15&lt;=Assumptions!$C$13,K43,0),IF(14&lt;=Assumptions!$C$13,L43,0),IF(13&lt;=Assumptions!$C$13,M43,0),IF(12&lt;=Assumptions!$C$13,N43,0),IF(11&lt;=Assumptions!$C$13,O43,0),IF(10&lt;=Assumptions!$C$13,P43,0),IF(9&lt;=Assumptions!$C$13,Q43,0),IF(8&lt;=Assumptions!$C$13,R43,0),IF(7&lt;=Assumptions!$C$13,S43,0),IF(6&lt;=Assumptions!$C$13,T43,0),IF(5&lt;=Assumptions!$C$13,U43,0),IF(4&lt;=Assumptions!$C$13,V43,0),IF(3&lt;=Assumptions!$C$13,W43,0),IF(2&lt;=Assumptions!$C$13,X43,0),IF(1&lt;=Assumptions!$C$13,Y43,0))*Assumptions!$C$36,Z34)</f>
        <v>0</v>
      </c>
    </row>
    <row r="45" spans="1:26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>
      <c r="A46" s="5" t="s">
        <v>311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6.5" customHeight="1">
      <c r="A47" s="1" t="s">
        <v>312</v>
      </c>
      <c r="B47" s="1" t="s">
        <v>75</v>
      </c>
      <c r="C47" s="12">
        <f>C31*Assumptions!$C$6+C32*Assumptions!$C$7+C33*Assumptions!$C$8+C42*(Assumptions!$C$6*Assumptions!$C$33+Assumptions!$C$7*Assumptions!$C$34+Assumptions!$C$8*Assumptions!$C$35)</f>
        <v>273172.5</v>
      </c>
      <c r="D47" s="12">
        <f>D31*Assumptions!$C$6+D32*Assumptions!$C$7+D33*Assumptions!$C$8+D42*(Assumptions!$C$6*Assumptions!$C$33+Assumptions!$C$7*Assumptions!$C$34+Assumptions!$C$8*Assumptions!$C$35)</f>
        <v>210008.94750000001</v>
      </c>
      <c r="E47" s="12">
        <f>E31*Assumptions!$C$6+E32*Assumptions!$C$7+E33*Assumptions!$C$8+E42*(Assumptions!$C$6*Assumptions!$C$33+Assumptions!$C$7*Assumptions!$C$34+Assumptions!$C$8*Assumptions!$C$35)</f>
        <v>263870.43003000005</v>
      </c>
      <c r="F47" s="12">
        <f>F31*Assumptions!$C$6+F32*Assumptions!$C$7+F33*Assumptions!$C$8+F42*(Assumptions!$C$6*Assumptions!$C$33+Assumptions!$C$7*Assumptions!$C$34+Assumptions!$C$8*Assumptions!$C$35)</f>
        <v>317256.34813308006</v>
      </c>
      <c r="G47" s="12">
        <f>G31*Assumptions!$C$6+G32*Assumptions!$C$7+G33*Assumptions!$C$8+G42*(Assumptions!$C$6*Assumptions!$C$33+Assumptions!$C$7*Assumptions!$C$34+Assumptions!$C$8*Assumptions!$C$35)</f>
        <v>370739.24875881296</v>
      </c>
      <c r="H47" s="12">
        <f>H31*Assumptions!$C$6+H32*Assumptions!$C$7+H33*Assumptions!$C$8+H42*(Assumptions!$C$6*Assumptions!$C$33+Assumptions!$C$7*Assumptions!$C$34+Assumptions!$C$8*Assumptions!$C$35)</f>
        <v>424488.60908981145</v>
      </c>
      <c r="I47" s="12">
        <f>I31*Assumptions!$C$6+I32*Assumptions!$C$7+I33*Assumptions!$C$8+I42*(Assumptions!$C$6*Assumptions!$C$33+Assumptions!$C$7*Assumptions!$C$34+Assumptions!$C$8*Assumptions!$C$35)</f>
        <v>478671.84397220414</v>
      </c>
      <c r="J47" s="12">
        <f>J31*Assumptions!$C$6+J32*Assumptions!$C$7+J33*Assumptions!$C$8+J42*(Assumptions!$C$6*Assumptions!$C$33+Assumptions!$C$7*Assumptions!$C$34+Assumptions!$C$8*Assumptions!$C$35)</f>
        <v>533454.87711533078</v>
      </c>
      <c r="K47" s="12">
        <f>K31*Assumptions!$C$6+K32*Assumptions!$C$7+K33*Assumptions!$C$8+K42*(Assumptions!$C$6*Assumptions!$C$33+Assumptions!$C$7*Assumptions!$C$34+Assumptions!$C$8*Assumptions!$C$35)</f>
        <v>589002.69769516459</v>
      </c>
      <c r="L47" s="12">
        <f>L31*Assumptions!$C$6+L32*Assumptions!$C$7+L33*Assumptions!$C$8+L42*(Assumptions!$C$6*Assumptions!$C$33+Assumptions!$C$7*Assumptions!$C$34+Assumptions!$C$8*Assumptions!$C$35)</f>
        <v>645479.90439364989</v>
      </c>
      <c r="M47" s="12">
        <f>M31*Assumptions!$C$6+M32*Assumptions!$C$7+M33*Assumptions!$C$8+M42*(Assumptions!$C$6*Assumptions!$C$33+Assumptions!$C$7*Assumptions!$C$34+Assumptions!$C$8*Assumptions!$C$35)</f>
        <v>703051.23883098084</v>
      </c>
      <c r="N47" s="12">
        <f>N31*Assumptions!$C$6+N32*Assumptions!$C$7+N33*Assumptions!$C$8+N42*(Assumptions!$C$6*Assumptions!$C$33+Assumptions!$C$7*Assumptions!$C$34+Assumptions!$C$8*Assumptions!$C$35)</f>
        <v>761882.11028024903</v>
      </c>
      <c r="O47" s="12">
        <f>O31*Assumptions!$C$6+O32*Assumptions!$C$7+O33*Assumptions!$C$8+O42*(Assumptions!$C$6*Assumptions!$C$33+Assumptions!$C$7*Assumptions!$C$34+Assumptions!$C$8*Assumptions!$C$35)</f>
        <v>822139.11349348642</v>
      </c>
      <c r="P47" s="12">
        <f>P31*Assumptions!$C$6+P32*Assumptions!$C$7+P33*Assumptions!$C$8+P42*(Assumptions!$C$6*Assumptions!$C$33+Assumptions!$C$7*Assumptions!$C$34+Assumptions!$C$8*Assumptions!$C$35)</f>
        <v>883990.54141463537</v>
      </c>
      <c r="Q47" s="12">
        <f>Q31*Assumptions!$C$6+Q32*Assumptions!$C$7+Q33*Assumptions!$C$8+Q42*(Assumptions!$C$6*Assumptions!$C$33+Assumptions!$C$7*Assumptions!$C$34+Assumptions!$C$8*Assumptions!$C$35)</f>
        <v>947606.89450806717</v>
      </c>
      <c r="R47" s="12">
        <f>R31*Assumptions!$C$6+R32*Assumptions!$C$7+R33*Assumptions!$C$8+R42*(Assumptions!$C$6*Assumptions!$C$33+Assumptions!$C$7*Assumptions!$C$34+Assumptions!$C$8*Assumptions!$C$35)</f>
        <v>1013161.3883907181</v>
      </c>
      <c r="S47" s="12">
        <f>S31*Assumptions!$C$6+S32*Assumptions!$C$7+S33*Assumptions!$C$8+S42*(Assumptions!$C$6*Assumptions!$C$33+Assumptions!$C$7*Assumptions!$C$34+Assumptions!$C$8*Assumptions!$C$35)</f>
        <v>1080830.4614214376</v>
      </c>
      <c r="T47" s="12">
        <f>T31*Assumptions!$C$6+T32*Assumptions!$C$7+T33*Assumptions!$C$8+T42*(Assumptions!$C$6*Assumptions!$C$33+Assumptions!$C$7*Assumptions!$C$34+Assumptions!$C$8*Assumptions!$C$35)</f>
        <v>1150794.2838725771</v>
      </c>
      <c r="U47" s="12">
        <f>U31*Assumptions!$C$6+U32*Assumptions!$C$7+U33*Assumptions!$C$8+U42*(Assumptions!$C$6*Assumptions!$C$33+Assumptions!$C$7*Assumptions!$C$34+Assumptions!$C$8*Assumptions!$C$35)</f>
        <v>1223237.2702859496</v>
      </c>
      <c r="V47" s="12">
        <f>V31*Assumptions!$C$6+V32*Assumptions!$C$7+V33*Assumptions!$C$8+V42*(Assumptions!$C$6*Assumptions!$C$33+Assumptions!$C$7*Assumptions!$C$34+Assumptions!$C$8*Assumptions!$C$35)</f>
        <v>1298348.5965979272</v>
      </c>
      <c r="W47" s="12">
        <f>W31*Assumptions!$C$6+W32*Assumptions!$C$7+W33*Assumptions!$C$8+W42*(Assumptions!$C$6*Assumptions!$C$33+Assumptions!$C$7*Assumptions!$C$34+Assumptions!$C$8*Assumptions!$C$35)</f>
        <v>1376322.7236064519</v>
      </c>
      <c r="X47" s="12">
        <f>X31*Assumptions!$C$6+X32*Assumptions!$C$7+X33*Assumptions!$C$8+X42*(Assumptions!$C$6*Assumptions!$C$33+Assumptions!$C$7*Assumptions!$C$34+Assumptions!$C$8*Assumptions!$C$35)</f>
        <v>1457359.9283459706</v>
      </c>
      <c r="Y47" s="12">
        <f>Y31*Assumptions!$C$6+Y32*Assumptions!$C$7+Y33*Assumptions!$C$8+Y42*(Assumptions!$C$6*Assumptions!$C$33+Assumptions!$C$7*Assumptions!$C$34+Assumptions!$C$8*Assumptions!$C$35)</f>
        <v>1541666.8449346768</v>
      </c>
      <c r="Z47" s="12">
        <f>Z31*Assumptions!$C$6+Z32*Assumptions!$C$7+Z33*Assumptions!$C$8+Z42*(Assumptions!$C$6*Assumptions!$C$33+Assumptions!$C$7*Assumptions!$C$34+Assumptions!$C$8*Assumptions!$C$35)</f>
        <v>1629457.0164618483</v>
      </c>
    </row>
    <row r="48" spans="1:26" ht="16.5" customHeight="1">
      <c r="A48" s="1" t="s">
        <v>313</v>
      </c>
      <c r="B48" s="1" t="s">
        <v>75</v>
      </c>
      <c r="C48" s="12">
        <f>C42*(Assumptions!$C$6*Assumptions!$C$33+Assumptions!$C$7*Assumptions!$C$34+Assumptions!$C$8*Assumptions!$C$35)</f>
        <v>212467.5</v>
      </c>
      <c r="D48" s="12">
        <f>D42*(Assumptions!$C$6*Assumptions!$C$33+Assumptions!$C$7*Assumptions!$C$34+Assumptions!$C$8*Assumptions!$C$35)</f>
        <v>0</v>
      </c>
      <c r="E48" s="12">
        <f>E42*(Assumptions!$C$6*Assumptions!$C$33+Assumptions!$C$7*Assumptions!$C$34+Assumptions!$C$8*Assumptions!$C$35)</f>
        <v>0</v>
      </c>
      <c r="F48" s="12">
        <f>F42*(Assumptions!$C$6*Assumptions!$C$33+Assumptions!$C$7*Assumptions!$C$34+Assumptions!$C$8*Assumptions!$C$35)</f>
        <v>0</v>
      </c>
      <c r="G48" s="12">
        <f>G42*(Assumptions!$C$6*Assumptions!$C$33+Assumptions!$C$7*Assumptions!$C$34+Assumptions!$C$8*Assumptions!$C$35)</f>
        <v>0</v>
      </c>
      <c r="H48" s="12">
        <f>H42*(Assumptions!$C$6*Assumptions!$C$33+Assumptions!$C$7*Assumptions!$C$34+Assumptions!$C$8*Assumptions!$C$35)</f>
        <v>0</v>
      </c>
      <c r="I48" s="12">
        <f>I42*(Assumptions!$C$6*Assumptions!$C$33+Assumptions!$C$7*Assumptions!$C$34+Assumptions!$C$8*Assumptions!$C$35)</f>
        <v>0</v>
      </c>
      <c r="J48" s="12">
        <f>J42*(Assumptions!$C$6*Assumptions!$C$33+Assumptions!$C$7*Assumptions!$C$34+Assumptions!$C$8*Assumptions!$C$35)</f>
        <v>0</v>
      </c>
      <c r="K48" s="12">
        <f>K42*(Assumptions!$C$6*Assumptions!$C$33+Assumptions!$C$7*Assumptions!$C$34+Assumptions!$C$8*Assumptions!$C$35)</f>
        <v>0</v>
      </c>
      <c r="L48" s="12">
        <f>L42*(Assumptions!$C$6*Assumptions!$C$33+Assumptions!$C$7*Assumptions!$C$34+Assumptions!$C$8*Assumptions!$C$35)</f>
        <v>0</v>
      </c>
      <c r="M48" s="12">
        <f>M42*(Assumptions!$C$6*Assumptions!$C$33+Assumptions!$C$7*Assumptions!$C$34+Assumptions!$C$8*Assumptions!$C$35)</f>
        <v>0</v>
      </c>
      <c r="N48" s="12">
        <f>N42*(Assumptions!$C$6*Assumptions!$C$33+Assumptions!$C$7*Assumptions!$C$34+Assumptions!$C$8*Assumptions!$C$35)</f>
        <v>0</v>
      </c>
      <c r="O48" s="12">
        <f>O42*(Assumptions!$C$6*Assumptions!$C$33+Assumptions!$C$7*Assumptions!$C$34+Assumptions!$C$8*Assumptions!$C$35)</f>
        <v>0</v>
      </c>
      <c r="P48" s="12">
        <f>P42*(Assumptions!$C$6*Assumptions!$C$33+Assumptions!$C$7*Assumptions!$C$34+Assumptions!$C$8*Assumptions!$C$35)</f>
        <v>0</v>
      </c>
      <c r="Q48" s="12">
        <f>Q42*(Assumptions!$C$6*Assumptions!$C$33+Assumptions!$C$7*Assumptions!$C$34+Assumptions!$C$8*Assumptions!$C$35)</f>
        <v>0</v>
      </c>
      <c r="R48" s="12">
        <f>R42*(Assumptions!$C$6*Assumptions!$C$33+Assumptions!$C$7*Assumptions!$C$34+Assumptions!$C$8*Assumptions!$C$35)</f>
        <v>0</v>
      </c>
      <c r="S48" s="12">
        <f>S42*(Assumptions!$C$6*Assumptions!$C$33+Assumptions!$C$7*Assumptions!$C$34+Assumptions!$C$8*Assumptions!$C$35)</f>
        <v>0</v>
      </c>
      <c r="T48" s="12">
        <f>T42*(Assumptions!$C$6*Assumptions!$C$33+Assumptions!$C$7*Assumptions!$C$34+Assumptions!$C$8*Assumptions!$C$35)</f>
        <v>0</v>
      </c>
      <c r="U48" s="12">
        <f>U42*(Assumptions!$C$6*Assumptions!$C$33+Assumptions!$C$7*Assumptions!$C$34+Assumptions!$C$8*Assumptions!$C$35)</f>
        <v>0</v>
      </c>
      <c r="V48" s="12">
        <f>V42*(Assumptions!$C$6*Assumptions!$C$33+Assumptions!$C$7*Assumptions!$C$34+Assumptions!$C$8*Assumptions!$C$35)</f>
        <v>0</v>
      </c>
      <c r="W48" s="12">
        <f>W42*(Assumptions!$C$6*Assumptions!$C$33+Assumptions!$C$7*Assumptions!$C$34+Assumptions!$C$8*Assumptions!$C$35)</f>
        <v>0</v>
      </c>
      <c r="X48" s="12">
        <f>X42*(Assumptions!$C$6*Assumptions!$C$33+Assumptions!$C$7*Assumptions!$C$34+Assumptions!$C$8*Assumptions!$C$35)</f>
        <v>0</v>
      </c>
      <c r="Y48" s="12">
        <f>Y42*(Assumptions!$C$6*Assumptions!$C$33+Assumptions!$C$7*Assumptions!$C$34+Assumptions!$C$8*Assumptions!$C$35)</f>
        <v>0</v>
      </c>
      <c r="Z48" s="12">
        <f>Z42*(Assumptions!$C$6*Assumptions!$C$33+Assumptions!$C$7*Assumptions!$C$34+Assumptions!$C$8*Assumptions!$C$35)</f>
        <v>0</v>
      </c>
    </row>
    <row r="49" spans="1:26" ht="16.5" customHeight="1">
      <c r="A49" s="1" t="s">
        <v>314</v>
      </c>
      <c r="B49" s="1" t="s">
        <v>75</v>
      </c>
      <c r="C49" s="12">
        <f>MIN(C44*(Assumptions!$C$6*Assumptions!$C$33+Assumptions!$C$7*Assumptions!$C$34+Assumptions!$C$8*Assumptions!$C$35),C47-C48)</f>
        <v>0</v>
      </c>
      <c r="D49" s="12">
        <f>MIN(D44*(Assumptions!$C$6*Assumptions!$C$33+Assumptions!$C$7*Assumptions!$C$34+Assumptions!$C$8*Assumptions!$C$35),D47-D48)</f>
        <v>1311.7743449999996</v>
      </c>
      <c r="E49" s="12">
        <f>MIN(E44*(Assumptions!$C$6*Assumptions!$C$33+Assumptions!$C$7*Assumptions!$C$34+Assumptions!$C$8*Assumptions!$C$35),E47-E48)</f>
        <v>110.18904497999999</v>
      </c>
      <c r="F49" s="12">
        <f>MIN(F44*(Assumptions!$C$6*Assumptions!$C$33+Assumptions!$C$7*Assumptions!$C$34+Assumptions!$C$8*Assumptions!$C$35),F47-F48)</f>
        <v>0</v>
      </c>
      <c r="G49" s="12">
        <f>MIN(G44*(Assumptions!$C$6*Assumptions!$C$33+Assumptions!$C$7*Assumptions!$C$34+Assumptions!$C$8*Assumptions!$C$35),G47-G48)</f>
        <v>0</v>
      </c>
      <c r="H49" s="12">
        <f>MIN(H44*(Assumptions!$C$6*Assumptions!$C$33+Assumptions!$C$7*Assumptions!$C$34+Assumptions!$C$8*Assumptions!$C$35),H47-H48)</f>
        <v>0</v>
      </c>
      <c r="I49" s="12">
        <f>MIN(I44*(Assumptions!$C$6*Assumptions!$C$33+Assumptions!$C$7*Assumptions!$C$34+Assumptions!$C$8*Assumptions!$C$35),I47-I48)</f>
        <v>0</v>
      </c>
      <c r="J49" s="12">
        <f>MIN(J44*(Assumptions!$C$6*Assumptions!$C$33+Assumptions!$C$7*Assumptions!$C$34+Assumptions!$C$8*Assumptions!$C$35),J47-J48)</f>
        <v>0</v>
      </c>
      <c r="K49" s="12">
        <f>MIN(K44*(Assumptions!$C$6*Assumptions!$C$33+Assumptions!$C$7*Assumptions!$C$34+Assumptions!$C$8*Assumptions!$C$35),K47-K48)</f>
        <v>0</v>
      </c>
      <c r="L49" s="12">
        <f>MIN(L44*(Assumptions!$C$6*Assumptions!$C$33+Assumptions!$C$7*Assumptions!$C$34+Assumptions!$C$8*Assumptions!$C$35),L47-L48)</f>
        <v>0</v>
      </c>
      <c r="M49" s="12">
        <f>MIN(M44*(Assumptions!$C$6*Assumptions!$C$33+Assumptions!$C$7*Assumptions!$C$34+Assumptions!$C$8*Assumptions!$C$35),M47-M48)</f>
        <v>0</v>
      </c>
      <c r="N49" s="12">
        <f>MIN(N44*(Assumptions!$C$6*Assumptions!$C$33+Assumptions!$C$7*Assumptions!$C$34+Assumptions!$C$8*Assumptions!$C$35),N47-N48)</f>
        <v>0</v>
      </c>
      <c r="O49" s="12">
        <f>MIN(O44*(Assumptions!$C$6*Assumptions!$C$33+Assumptions!$C$7*Assumptions!$C$34+Assumptions!$C$8*Assumptions!$C$35),O47-O48)</f>
        <v>0</v>
      </c>
      <c r="P49" s="12">
        <f>MIN(P44*(Assumptions!$C$6*Assumptions!$C$33+Assumptions!$C$7*Assumptions!$C$34+Assumptions!$C$8*Assumptions!$C$35),P47-P48)</f>
        <v>0</v>
      </c>
      <c r="Q49" s="12">
        <f>MIN(Q44*(Assumptions!$C$6*Assumptions!$C$33+Assumptions!$C$7*Assumptions!$C$34+Assumptions!$C$8*Assumptions!$C$35),Q47-Q48)</f>
        <v>0</v>
      </c>
      <c r="R49" s="12">
        <f>MIN(R44*(Assumptions!$C$6*Assumptions!$C$33+Assumptions!$C$7*Assumptions!$C$34+Assumptions!$C$8*Assumptions!$C$35),R47-R48)</f>
        <v>0</v>
      </c>
      <c r="S49" s="12">
        <f>MIN(S44*(Assumptions!$C$6*Assumptions!$C$33+Assumptions!$C$7*Assumptions!$C$34+Assumptions!$C$8*Assumptions!$C$35),S47-S48)</f>
        <v>0</v>
      </c>
      <c r="T49" s="12">
        <f>MIN(T44*(Assumptions!$C$6*Assumptions!$C$33+Assumptions!$C$7*Assumptions!$C$34+Assumptions!$C$8*Assumptions!$C$35),T47-T48)</f>
        <v>0</v>
      </c>
      <c r="U49" s="12">
        <f>MIN(U44*(Assumptions!$C$6*Assumptions!$C$33+Assumptions!$C$7*Assumptions!$C$34+Assumptions!$C$8*Assumptions!$C$35),U47-U48)</f>
        <v>0</v>
      </c>
      <c r="V49" s="12">
        <f>MIN(V44*(Assumptions!$C$6*Assumptions!$C$33+Assumptions!$C$7*Assumptions!$C$34+Assumptions!$C$8*Assumptions!$C$35),V47-V48)</f>
        <v>0</v>
      </c>
      <c r="W49" s="12">
        <f>MIN(W44*(Assumptions!$C$6*Assumptions!$C$33+Assumptions!$C$7*Assumptions!$C$34+Assumptions!$C$8*Assumptions!$C$35),W47-W48)</f>
        <v>0</v>
      </c>
      <c r="X49" s="12">
        <f>MIN(X44*(Assumptions!$C$6*Assumptions!$C$33+Assumptions!$C$7*Assumptions!$C$34+Assumptions!$C$8*Assumptions!$C$35),X47-X48)</f>
        <v>0</v>
      </c>
      <c r="Y49" s="12">
        <f>MIN(Y44*(Assumptions!$C$6*Assumptions!$C$33+Assumptions!$C$7*Assumptions!$C$34+Assumptions!$C$8*Assumptions!$C$35),Y47-Y48)</f>
        <v>0</v>
      </c>
      <c r="Z49" s="12">
        <f>MIN(Z44*(Assumptions!$C$6*Assumptions!$C$33+Assumptions!$C$7*Assumptions!$C$34+Assumptions!$C$8*Assumptions!$C$35),Z47-Z48)</f>
        <v>0</v>
      </c>
    </row>
    <row r="50" spans="1:26" ht="16.5" customHeight="1">
      <c r="A50" s="10" t="s">
        <v>315</v>
      </c>
      <c r="B50" s="10" t="s">
        <v>75</v>
      </c>
      <c r="C50" s="31">
        <f t="shared" ref="C50:Z50" si="14">C47-C48-C49</f>
        <v>60705</v>
      </c>
      <c r="D50" s="31">
        <f t="shared" si="14"/>
        <v>208697.173155</v>
      </c>
      <c r="E50" s="31">
        <f t="shared" si="14"/>
        <v>263760.24098502006</v>
      </c>
      <c r="F50" s="31">
        <f t="shared" si="14"/>
        <v>317256.34813308006</v>
      </c>
      <c r="G50" s="31">
        <f t="shared" si="14"/>
        <v>370739.24875881296</v>
      </c>
      <c r="H50" s="31">
        <f t="shared" si="14"/>
        <v>424488.60908981145</v>
      </c>
      <c r="I50" s="31">
        <f t="shared" si="14"/>
        <v>478671.84397220414</v>
      </c>
      <c r="J50" s="31">
        <f t="shared" si="14"/>
        <v>533454.87711533078</v>
      </c>
      <c r="K50" s="31">
        <f t="shared" si="14"/>
        <v>589002.69769516459</v>
      </c>
      <c r="L50" s="31">
        <f t="shared" si="14"/>
        <v>645479.90439364989</v>
      </c>
      <c r="M50" s="31">
        <f t="shared" si="14"/>
        <v>703051.23883098084</v>
      </c>
      <c r="N50" s="31">
        <f t="shared" si="14"/>
        <v>761882.11028024903</v>
      </c>
      <c r="O50" s="31">
        <f t="shared" si="14"/>
        <v>822139.11349348642</v>
      </c>
      <c r="P50" s="31">
        <f t="shared" si="14"/>
        <v>883990.54141463537</v>
      </c>
      <c r="Q50" s="31">
        <f t="shared" si="14"/>
        <v>947606.89450806717</v>
      </c>
      <c r="R50" s="31">
        <f t="shared" si="14"/>
        <v>1013161.3883907181</v>
      </c>
      <c r="S50" s="31">
        <f t="shared" si="14"/>
        <v>1080830.4614214376</v>
      </c>
      <c r="T50" s="31">
        <f t="shared" si="14"/>
        <v>1150794.2838725771</v>
      </c>
      <c r="U50" s="31">
        <f t="shared" si="14"/>
        <v>1223237.2702859496</v>
      </c>
      <c r="V50" s="31">
        <f t="shared" si="14"/>
        <v>1298348.5965979272</v>
      </c>
      <c r="W50" s="31">
        <f t="shared" si="14"/>
        <v>1376322.7236064519</v>
      </c>
      <c r="X50" s="31">
        <f t="shared" si="14"/>
        <v>1457359.9283459706</v>
      </c>
      <c r="Y50" s="31">
        <f t="shared" si="14"/>
        <v>1541666.8449346768</v>
      </c>
      <c r="Z50" s="31">
        <f t="shared" si="14"/>
        <v>1629457.0164618483</v>
      </c>
    </row>
    <row r="51" spans="1:26" ht="16.5" customHeight="1">
      <c r="A51" s="1" t="s">
        <v>316</v>
      </c>
      <c r="B51" s="1" t="s">
        <v>75</v>
      </c>
      <c r="C51" s="12">
        <f>C50*Assumptions!$C$70/(1+Assumptions!$C$70)</f>
        <v>5518.6363636363631</v>
      </c>
      <c r="D51" s="12">
        <f>D50*Assumptions!$C$70/(1+Assumptions!$C$70)</f>
        <v>18972.470286818181</v>
      </c>
      <c r="E51" s="12">
        <f>E50*Assumptions!$C$70/(1+Assumptions!$C$70)</f>
        <v>23978.203725910913</v>
      </c>
      <c r="F51" s="12">
        <f>F50*Assumptions!$C$70/(1+Assumptions!$C$70)</f>
        <v>28841.486193916367</v>
      </c>
      <c r="G51" s="12">
        <f>G50*Assumptions!$C$70/(1+Assumptions!$C$70)</f>
        <v>33703.568068982997</v>
      </c>
      <c r="H51" s="12">
        <f>H50*Assumptions!$C$70/(1+Assumptions!$C$70)</f>
        <v>38589.873553619225</v>
      </c>
      <c r="I51" s="12">
        <f>I50*Assumptions!$C$70/(1+Assumptions!$C$70)</f>
        <v>43515.622179291284</v>
      </c>
      <c r="J51" s="12">
        <f>J50*Assumptions!$C$70/(1+Assumptions!$C$70)</f>
        <v>48495.897919575524</v>
      </c>
      <c r="K51" s="12">
        <f>K50*Assumptions!$C$70/(1+Assumptions!$C$70)</f>
        <v>53545.699790469502</v>
      </c>
      <c r="L51" s="12">
        <f>L50*Assumptions!$C$70/(1+Assumptions!$C$70)</f>
        <v>58679.991308513621</v>
      </c>
      <c r="M51" s="12">
        <f>M50*Assumptions!$C$70/(1+Assumptions!$C$70)</f>
        <v>63913.748984634622</v>
      </c>
      <c r="N51" s="12">
        <f>N50*Assumptions!$C$70/(1+Assumptions!$C$70)</f>
        <v>69262.010025477182</v>
      </c>
      <c r="O51" s="12">
        <f>O50*Assumptions!$C$70/(1+Assumptions!$C$70)</f>
        <v>74739.919408498768</v>
      </c>
      <c r="P51" s="12">
        <f>P50*Assumptions!$C$70/(1+Assumptions!$C$70)</f>
        <v>80362.776492239573</v>
      </c>
      <c r="Q51" s="12">
        <f>Q50*Assumptions!$C$70/(1+Assumptions!$C$70)</f>
        <v>86146.081318915196</v>
      </c>
      <c r="R51" s="12">
        <f>R50*Assumptions!$C$70/(1+Assumptions!$C$70)</f>
        <v>92105.580762792553</v>
      </c>
      <c r="S51" s="12">
        <f>S50*Assumptions!$C$70/(1+Assumptions!$C$70)</f>
        <v>98257.314674676149</v>
      </c>
      <c r="T51" s="12">
        <f>T50*Assumptions!$C$70/(1+Assumptions!$C$70)</f>
        <v>104617.66217023428</v>
      </c>
      <c r="U51" s="12">
        <f>U50*Assumptions!$C$70/(1+Assumptions!$C$70)</f>
        <v>111203.38820781359</v>
      </c>
      <c r="V51" s="12">
        <f>V50*Assumptions!$C$70/(1+Assumptions!$C$70)</f>
        <v>118031.69059981155</v>
      </c>
      <c r="W51" s="12">
        <f>W50*Assumptions!$C$70/(1+Assumptions!$C$70)</f>
        <v>125120.24760058655</v>
      </c>
      <c r="X51" s="12">
        <f>X50*Assumptions!$C$70/(1+Assumptions!$C$70)</f>
        <v>132487.26621327005</v>
      </c>
      <c r="Y51" s="12">
        <f>Y50*Assumptions!$C$70/(1+Assumptions!$C$70)</f>
        <v>140151.53135769788</v>
      </c>
      <c r="Z51" s="12">
        <f>Z50*Assumptions!$C$70/(1+Assumptions!$C$70)</f>
        <v>148132.45604198621</v>
      </c>
    </row>
    <row r="52" spans="1:26" ht="16.5" customHeight="1">
      <c r="A52" s="10" t="s">
        <v>317</v>
      </c>
      <c r="B52" s="10" t="s">
        <v>75</v>
      </c>
      <c r="C52" s="31">
        <f t="shared" ref="C52:Z52" si="15">C50-C51</f>
        <v>55186.36363636364</v>
      </c>
      <c r="D52" s="31">
        <f t="shared" si="15"/>
        <v>189724.7028681818</v>
      </c>
      <c r="E52" s="31">
        <f t="shared" si="15"/>
        <v>239782.03725910914</v>
      </c>
      <c r="F52" s="31">
        <f t="shared" si="15"/>
        <v>288414.8619391637</v>
      </c>
      <c r="G52" s="31">
        <f t="shared" si="15"/>
        <v>337035.68068982998</v>
      </c>
      <c r="H52" s="31">
        <f t="shared" si="15"/>
        <v>385898.73553619219</v>
      </c>
      <c r="I52" s="31">
        <f t="shared" si="15"/>
        <v>435156.22179291287</v>
      </c>
      <c r="J52" s="31">
        <f t="shared" si="15"/>
        <v>484958.97919575527</v>
      </c>
      <c r="K52" s="31">
        <f t="shared" si="15"/>
        <v>535456.9979046951</v>
      </c>
      <c r="L52" s="31">
        <f t="shared" si="15"/>
        <v>586799.91308513633</v>
      </c>
      <c r="M52" s="31">
        <f t="shared" si="15"/>
        <v>639137.4898463462</v>
      </c>
      <c r="N52" s="31">
        <f t="shared" si="15"/>
        <v>692620.10025477188</v>
      </c>
      <c r="O52" s="31">
        <f t="shared" si="15"/>
        <v>747399.19408498763</v>
      </c>
      <c r="P52" s="31">
        <f t="shared" si="15"/>
        <v>803627.76492239581</v>
      </c>
      <c r="Q52" s="31">
        <f t="shared" si="15"/>
        <v>861460.81318915193</v>
      </c>
      <c r="R52" s="31">
        <f t="shared" si="15"/>
        <v>921055.80762792565</v>
      </c>
      <c r="S52" s="31">
        <f t="shared" si="15"/>
        <v>982573.1467467614</v>
      </c>
      <c r="T52" s="31">
        <f t="shared" si="15"/>
        <v>1046176.6217023429</v>
      </c>
      <c r="U52" s="31">
        <f t="shared" si="15"/>
        <v>1112033.8820781361</v>
      </c>
      <c r="V52" s="31">
        <f t="shared" si="15"/>
        <v>1180316.9059981157</v>
      </c>
      <c r="W52" s="31">
        <f t="shared" si="15"/>
        <v>1251202.4760058653</v>
      </c>
      <c r="X52" s="31">
        <f t="shared" si="15"/>
        <v>1324872.6621327004</v>
      </c>
      <c r="Y52" s="31">
        <f t="shared" si="15"/>
        <v>1401515.3135769789</v>
      </c>
      <c r="Z52" s="31">
        <f t="shared" si="15"/>
        <v>1481324.5604198622</v>
      </c>
    </row>
    <row r="53" spans="1:26" ht="16.5" customHeight="1">
      <c r="A53" s="1" t="s">
        <v>318</v>
      </c>
      <c r="B53" s="1" t="s">
        <v>75</v>
      </c>
      <c r="C53" s="12">
        <f t="shared" ref="C53:Z53" si="16">MAX(0,C34-C44)</f>
        <v>3</v>
      </c>
      <c r="D53" s="12">
        <f t="shared" si="16"/>
        <v>10.313673000000001</v>
      </c>
      <c r="E53" s="12">
        <f t="shared" si="16"/>
        <v>13.034852532</v>
      </c>
      <c r="F53" s="12">
        <f t="shared" si="16"/>
        <v>15.678593928000002</v>
      </c>
      <c r="G53" s="12">
        <f t="shared" si="16"/>
        <v>18.321682666607998</v>
      </c>
      <c r="H53" s="12">
        <f t="shared" si="16"/>
        <v>20.977939663445088</v>
      </c>
      <c r="I53" s="12">
        <f t="shared" si="16"/>
        <v>23.655638446859605</v>
      </c>
      <c r="J53" s="12">
        <f t="shared" si="16"/>
        <v>26.36297885422934</v>
      </c>
      <c r="K53" s="12">
        <f t="shared" si="16"/>
        <v>29.10811453892585</v>
      </c>
      <c r="L53" s="12">
        <f t="shared" si="16"/>
        <v>31.899179856370147</v>
      </c>
      <c r="M53" s="12">
        <f t="shared" si="16"/>
        <v>34.744316225894778</v>
      </c>
      <c r="N53" s="12">
        <f t="shared" si="16"/>
        <v>37.651698061786448</v>
      </c>
      <c r="O53" s="12">
        <f t="shared" si="16"/>
        <v>40.629558363898511</v>
      </c>
      <c r="P53" s="12">
        <f t="shared" si="16"/>
        <v>43.686214055578716</v>
      </c>
      <c r="Q53" s="12">
        <f t="shared" si="16"/>
        <v>46.830091154339868</v>
      </c>
      <c r="R53" s="12">
        <f t="shared" si="16"/>
        <v>50.069749858696227</v>
      </c>
      <c r="S53" s="12">
        <f t="shared" si="16"/>
        <v>53.413909632885478</v>
      </c>
      <c r="T53" s="12">
        <f t="shared" si="16"/>
        <v>56.871474369783904</v>
      </c>
      <c r="U53" s="12">
        <f t="shared" si="16"/>
        <v>60.451557711190986</v>
      </c>
      <c r="V53" s="12">
        <f t="shared" si="16"/>
        <v>64.163508603801688</v>
      </c>
      <c r="W53" s="12">
        <f t="shared" si="16"/>
        <v>68.016937168591639</v>
      </c>
      <c r="X53" s="12">
        <f t="shared" si="16"/>
        <v>72.021740961006699</v>
      </c>
      <c r="Y53" s="12">
        <f t="shared" si="16"/>
        <v>76.188131699267444</v>
      </c>
      <c r="Z53" s="12">
        <f t="shared" si="16"/>
        <v>80.526662538267743</v>
      </c>
    </row>
    <row r="54" spans="1:26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>
      <c r="A55" s="5" t="s">
        <v>319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6.5" customHeight="1">
      <c r="A56" s="1" t="s">
        <v>320</v>
      </c>
      <c r="B56" s="1" t="s">
        <v>84</v>
      </c>
      <c r="C56" s="7">
        <f>C31*MIN(Assumptions!$C$38,Assumptions!$C$100)+C32*MIN(Assumptions!$C$39,Assumptions!$C$100)+C33*MIN(Assumptions!$C$40,Assumptions!$C$101)</f>
        <v>690</v>
      </c>
      <c r="D56" s="7">
        <f>D31*MIN(Assumptions!$C$38,Assumptions!$C$100)+D32*MIN(Assumptions!$C$39,Assumptions!$C$100)+D33*MIN(Assumptions!$C$40,Assumptions!$C$101)</f>
        <v>2387.0550000000003</v>
      </c>
      <c r="E56" s="7">
        <f>E31*MIN(Assumptions!$C$38,Assumptions!$C$100)+E32*MIN(Assumptions!$C$39,Assumptions!$C$100)+E33*MIN(Assumptions!$C$40,Assumptions!$C$101)</f>
        <v>2999.26854</v>
      </c>
      <c r="F56" s="7">
        <f>F31*MIN(Assumptions!$C$38,Assumptions!$C$100)+F32*MIN(Assumptions!$C$39,Assumptions!$C$100)+F33*MIN(Assumptions!$C$40,Assumptions!$C$101)</f>
        <v>3606.0766034400003</v>
      </c>
      <c r="G56" s="7">
        <f>G31*MIN(Assumptions!$C$38,Assumptions!$C$100)+G32*MIN(Assumptions!$C$39,Assumptions!$C$100)+G33*MIN(Assumptions!$C$40,Assumptions!$C$101)</f>
        <v>4213.9870133198401</v>
      </c>
      <c r="H56" s="7">
        <f>H31*MIN(Assumptions!$C$38,Assumptions!$C$100)+H32*MIN(Assumptions!$C$39,Assumptions!$C$100)+H33*MIN(Assumptions!$C$40,Assumptions!$C$101)</f>
        <v>4824.926122592371</v>
      </c>
      <c r="I56" s="7">
        <f>I31*MIN(Assumptions!$C$38,Assumptions!$C$100)+I32*MIN(Assumptions!$C$39,Assumptions!$C$100)+I33*MIN(Assumptions!$C$40,Assumptions!$C$101)</f>
        <v>5440.7968427777087</v>
      </c>
      <c r="J56" s="7">
        <f>J31*MIN(Assumptions!$C$38,Assumptions!$C$100)+J32*MIN(Assumptions!$C$39,Assumptions!$C$100)+J33*MIN(Assumptions!$C$40,Assumptions!$C$101)</f>
        <v>6063.4851364727492</v>
      </c>
      <c r="K56" s="7">
        <f>K31*MIN(Assumptions!$C$38,Assumptions!$C$100)+K32*MIN(Assumptions!$C$39,Assumptions!$C$100)+K33*MIN(Assumptions!$C$40,Assumptions!$C$101)</f>
        <v>6694.8663439529446</v>
      </c>
      <c r="L56" s="7">
        <f>L31*MIN(Assumptions!$C$38,Assumptions!$C$100)+L32*MIN(Assumptions!$C$39,Assumptions!$C$100)+L33*MIN(Assumptions!$C$40,Assumptions!$C$101)</f>
        <v>7336.8113669651329</v>
      </c>
      <c r="M56" s="7">
        <f>M31*MIN(Assumptions!$C$38,Assumptions!$C$100)+M32*MIN(Assumptions!$C$39,Assumptions!$C$100)+M33*MIN(Assumptions!$C$40,Assumptions!$C$101)</f>
        <v>7991.1927319557999</v>
      </c>
      <c r="N56" s="7">
        <f>N31*MIN(Assumptions!$C$38,Assumptions!$C$100)+N32*MIN(Assumptions!$C$39,Assumptions!$C$100)+N33*MIN(Assumptions!$C$40,Assumptions!$C$101)</f>
        <v>8659.8905542108841</v>
      </c>
      <c r="O56" s="7">
        <f>O31*MIN(Assumptions!$C$38,Assumptions!$C$100)+O32*MIN(Assumptions!$C$39,Assumptions!$C$100)+O33*MIN(Assumptions!$C$40,Assumptions!$C$101)</f>
        <v>9344.7984236966568</v>
      </c>
      <c r="P56" s="7">
        <f>P31*MIN(Assumptions!$C$38,Assumptions!$C$100)+P32*MIN(Assumptions!$C$39,Assumptions!$C$100)+P33*MIN(Assumptions!$C$40,Assumptions!$C$101)</f>
        <v>10047.829232783104</v>
      </c>
      <c r="Q56" s="7">
        <f>Q31*MIN(Assumptions!$C$38,Assumptions!$C$100)+Q32*MIN(Assumptions!$C$39,Assumptions!$C$100)+Q33*MIN(Assumptions!$C$40,Assumptions!$C$101)</f>
        <v>10770.92096549817</v>
      </c>
      <c r="R56" s="7">
        <f>R31*MIN(Assumptions!$C$38,Assumptions!$C$100)+R32*MIN(Assumptions!$C$39,Assumptions!$C$100)+R33*MIN(Assumptions!$C$40,Assumptions!$C$101)</f>
        <v>11516.04246750013</v>
      </c>
      <c r="S56" s="7">
        <f>S31*MIN(Assumptions!$C$38,Assumptions!$C$100)+S32*MIN(Assumptions!$C$39,Assumptions!$C$100)+S33*MIN(Assumptions!$C$40,Assumptions!$C$101)</f>
        <v>12285.199215563658</v>
      </c>
      <c r="T56" s="7">
        <f>T31*MIN(Assumptions!$C$38,Assumptions!$C$100)+T32*MIN(Assumptions!$C$39,Assumptions!$C$100)+T33*MIN(Assumptions!$C$40,Assumptions!$C$101)</f>
        <v>13080.439105050296</v>
      </c>
      <c r="U56" s="7">
        <f>U31*MIN(Assumptions!$C$38,Assumptions!$C$100)+U32*MIN(Assumptions!$C$39,Assumptions!$C$100)+U33*MIN(Assumptions!$C$40,Assumptions!$C$101)</f>
        <v>13903.858273573926</v>
      </c>
      <c r="V56" s="7">
        <f>V31*MIN(Assumptions!$C$38,Assumptions!$C$100)+V32*MIN(Assumptions!$C$39,Assumptions!$C$100)+V33*MIN(Assumptions!$C$40,Assumptions!$C$101)</f>
        <v>14757.606978874386</v>
      </c>
      <c r="W56" s="7">
        <f>W31*MIN(Assumptions!$C$38,Assumptions!$C$100)+W32*MIN(Assumptions!$C$39,Assumptions!$C$100)+W33*MIN(Assumptions!$C$40,Assumptions!$C$101)</f>
        <v>15643.895548776076</v>
      </c>
      <c r="X56" s="7">
        <f>X31*MIN(Assumptions!$C$38,Assumptions!$C$100)+X32*MIN(Assumptions!$C$39,Assumptions!$C$100)+X33*MIN(Assumptions!$C$40,Assumptions!$C$101)</f>
        <v>16565.000421031538</v>
      </c>
      <c r="Y56" s="7">
        <f>Y31*MIN(Assumptions!$C$38,Assumptions!$C$100)+Y32*MIN(Assumptions!$C$39,Assumptions!$C$100)+Y33*MIN(Assumptions!$C$40,Assumptions!$C$101)</f>
        <v>17523.270290831511</v>
      </c>
      <c r="Z56" s="7">
        <f>Z31*MIN(Assumptions!$C$38,Assumptions!$C$100)+Z32*MIN(Assumptions!$C$39,Assumptions!$C$100)+Z33*MIN(Assumptions!$C$40,Assumptions!$C$101)</f>
        <v>18521.132383801581</v>
      </c>
    </row>
    <row r="57" spans="1:26" ht="16.5" customHeight="1">
      <c r="A57" s="1" t="s">
        <v>457</v>
      </c>
      <c r="B57" s="1" t="s">
        <v>84</v>
      </c>
      <c r="C57" s="7">
        <f>C41*MIN(Assumptions!$C$41,Assumptions!$C$10)/MAX(1,ROUNDUP(Assumptions!$C$9/30,0))</f>
        <v>70.559999999999988</v>
      </c>
      <c r="D57" s="7">
        <f>D41*MIN(Assumptions!$C$41,Assumptions!$C$10)/MAX(1,ROUNDUP(Assumptions!$C$9/30,0))</f>
        <v>5.9270399999999999</v>
      </c>
      <c r="E57" s="7">
        <f>E41*MIN(Assumptions!$C$41,Assumptions!$C$10)/MAX(1,ROUNDUP(Assumptions!$C$9/30,0))</f>
        <v>0</v>
      </c>
      <c r="F57" s="7">
        <f>F41*MIN(Assumptions!$C$41,Assumptions!$C$10)/MAX(1,ROUNDUP(Assumptions!$C$9/30,0))</f>
        <v>0</v>
      </c>
      <c r="G57" s="7">
        <f>G41*MIN(Assumptions!$C$41,Assumptions!$C$10)/MAX(1,ROUNDUP(Assumptions!$C$9/30,0))</f>
        <v>0</v>
      </c>
      <c r="H57" s="7">
        <f>H41*MIN(Assumptions!$C$41,Assumptions!$C$10)/MAX(1,ROUNDUP(Assumptions!$C$9/30,0))</f>
        <v>0</v>
      </c>
      <c r="I57" s="7">
        <f>I41*MIN(Assumptions!$C$41,Assumptions!$C$10)/MAX(1,ROUNDUP(Assumptions!$C$9/30,0))</f>
        <v>0</v>
      </c>
      <c r="J57" s="7">
        <f>J41*MIN(Assumptions!$C$41,Assumptions!$C$10)/MAX(1,ROUNDUP(Assumptions!$C$9/30,0))</f>
        <v>0</v>
      </c>
      <c r="K57" s="7">
        <f>K41*MIN(Assumptions!$C$41,Assumptions!$C$10)/MAX(1,ROUNDUP(Assumptions!$C$9/30,0))</f>
        <v>0</v>
      </c>
      <c r="L57" s="7">
        <f>L41*MIN(Assumptions!$C$41,Assumptions!$C$10)/MAX(1,ROUNDUP(Assumptions!$C$9/30,0))</f>
        <v>0</v>
      </c>
      <c r="M57" s="7">
        <f>M41*MIN(Assumptions!$C$41,Assumptions!$C$10)/MAX(1,ROUNDUP(Assumptions!$C$9/30,0))</f>
        <v>0</v>
      </c>
      <c r="N57" s="7">
        <f>N41*MIN(Assumptions!$C$41,Assumptions!$C$10)/MAX(1,ROUNDUP(Assumptions!$C$9/30,0))</f>
        <v>0</v>
      </c>
      <c r="O57" s="7">
        <f>O41*MIN(Assumptions!$C$41,Assumptions!$C$10)/MAX(1,ROUNDUP(Assumptions!$C$9/30,0))</f>
        <v>0</v>
      </c>
      <c r="P57" s="7">
        <f>P41*MIN(Assumptions!$C$41,Assumptions!$C$10)/MAX(1,ROUNDUP(Assumptions!$C$9/30,0))</f>
        <v>0</v>
      </c>
      <c r="Q57" s="7">
        <f>Q41*MIN(Assumptions!$C$41,Assumptions!$C$10)/MAX(1,ROUNDUP(Assumptions!$C$9/30,0))</f>
        <v>0</v>
      </c>
      <c r="R57" s="7">
        <f>R41*MIN(Assumptions!$C$41,Assumptions!$C$10)/MAX(1,ROUNDUP(Assumptions!$C$9/30,0))</f>
        <v>0</v>
      </c>
      <c r="S57" s="7">
        <f>S41*MIN(Assumptions!$C$41,Assumptions!$C$10)/MAX(1,ROUNDUP(Assumptions!$C$9/30,0))</f>
        <v>0</v>
      </c>
      <c r="T57" s="7">
        <f>T41*MIN(Assumptions!$C$41,Assumptions!$C$10)/MAX(1,ROUNDUP(Assumptions!$C$9/30,0))</f>
        <v>0</v>
      </c>
      <c r="U57" s="7">
        <f>U41*MIN(Assumptions!$C$41,Assumptions!$C$10)/MAX(1,ROUNDUP(Assumptions!$C$9/30,0))</f>
        <v>0</v>
      </c>
      <c r="V57" s="7">
        <f>V41*MIN(Assumptions!$C$41,Assumptions!$C$10)/MAX(1,ROUNDUP(Assumptions!$C$9/30,0))</f>
        <v>0</v>
      </c>
      <c r="W57" s="7">
        <f>W41*MIN(Assumptions!$C$41,Assumptions!$C$10)/MAX(1,ROUNDUP(Assumptions!$C$9/30,0))</f>
        <v>0</v>
      </c>
      <c r="X57" s="7">
        <f>X41*MIN(Assumptions!$C$41,Assumptions!$C$10)/MAX(1,ROUNDUP(Assumptions!$C$9/30,0))</f>
        <v>0</v>
      </c>
      <c r="Y57" s="7">
        <f>Y41*MIN(Assumptions!$C$41,Assumptions!$C$10)/MAX(1,ROUNDUP(Assumptions!$C$9/30,0))</f>
        <v>0</v>
      </c>
      <c r="Z57" s="7">
        <f>Z41*MIN(Assumptions!$C$41,Assumptions!$C$10)/MAX(1,ROUNDUP(Assumptions!$C$9/30,0))</f>
        <v>0</v>
      </c>
    </row>
    <row r="58" spans="1:26" ht="16.5" customHeight="1">
      <c r="A58" s="1" t="s">
        <v>321</v>
      </c>
      <c r="B58" s="1" t="s">
        <v>84</v>
      </c>
      <c r="C58" s="7">
        <f>C42*(MIN(Assumptions!$C$42,Assumptions!$C$100)*(Assumptions!$C$33+Assumptions!$C$34)+MIN(Assumptions!$C$42,Assumptions!$C$101)*Assumptions!$C$35)</f>
        <v>2100.0000000000005</v>
      </c>
      <c r="D58" s="7">
        <f>D42*(MIN(Assumptions!$C$42,Assumptions!$C$100)*(Assumptions!$C$33+Assumptions!$C$34)+MIN(Assumptions!$C$42,Assumptions!$C$101)*Assumptions!$C$35)</f>
        <v>0</v>
      </c>
      <c r="E58" s="7">
        <f>E42*(MIN(Assumptions!$C$42,Assumptions!$C$100)*(Assumptions!$C$33+Assumptions!$C$34)+MIN(Assumptions!$C$42,Assumptions!$C$101)*Assumptions!$C$35)</f>
        <v>0</v>
      </c>
      <c r="F58" s="7">
        <f>F42*(MIN(Assumptions!$C$42,Assumptions!$C$100)*(Assumptions!$C$33+Assumptions!$C$34)+MIN(Assumptions!$C$42,Assumptions!$C$101)*Assumptions!$C$35)</f>
        <v>0</v>
      </c>
      <c r="G58" s="7">
        <f>G42*(MIN(Assumptions!$C$42,Assumptions!$C$100)*(Assumptions!$C$33+Assumptions!$C$34)+MIN(Assumptions!$C$42,Assumptions!$C$101)*Assumptions!$C$35)</f>
        <v>0</v>
      </c>
      <c r="H58" s="7">
        <f>H42*(MIN(Assumptions!$C$42,Assumptions!$C$100)*(Assumptions!$C$33+Assumptions!$C$34)+MIN(Assumptions!$C$42,Assumptions!$C$101)*Assumptions!$C$35)</f>
        <v>0</v>
      </c>
      <c r="I58" s="7">
        <f>I42*(MIN(Assumptions!$C$42,Assumptions!$C$100)*(Assumptions!$C$33+Assumptions!$C$34)+MIN(Assumptions!$C$42,Assumptions!$C$101)*Assumptions!$C$35)</f>
        <v>0</v>
      </c>
      <c r="J58" s="7">
        <f>J42*(MIN(Assumptions!$C$42,Assumptions!$C$100)*(Assumptions!$C$33+Assumptions!$C$34)+MIN(Assumptions!$C$42,Assumptions!$C$101)*Assumptions!$C$35)</f>
        <v>0</v>
      </c>
      <c r="K58" s="7">
        <f>K42*(MIN(Assumptions!$C$42,Assumptions!$C$100)*(Assumptions!$C$33+Assumptions!$C$34)+MIN(Assumptions!$C$42,Assumptions!$C$101)*Assumptions!$C$35)</f>
        <v>0</v>
      </c>
      <c r="L58" s="7">
        <f>L42*(MIN(Assumptions!$C$42,Assumptions!$C$100)*(Assumptions!$C$33+Assumptions!$C$34)+MIN(Assumptions!$C$42,Assumptions!$C$101)*Assumptions!$C$35)</f>
        <v>0</v>
      </c>
      <c r="M58" s="7">
        <f>M42*(MIN(Assumptions!$C$42,Assumptions!$C$100)*(Assumptions!$C$33+Assumptions!$C$34)+MIN(Assumptions!$C$42,Assumptions!$C$101)*Assumptions!$C$35)</f>
        <v>0</v>
      </c>
      <c r="N58" s="7">
        <f>N42*(MIN(Assumptions!$C$42,Assumptions!$C$100)*(Assumptions!$C$33+Assumptions!$C$34)+MIN(Assumptions!$C$42,Assumptions!$C$101)*Assumptions!$C$35)</f>
        <v>0</v>
      </c>
      <c r="O58" s="7">
        <f>O42*(MIN(Assumptions!$C$42,Assumptions!$C$100)*(Assumptions!$C$33+Assumptions!$C$34)+MIN(Assumptions!$C$42,Assumptions!$C$101)*Assumptions!$C$35)</f>
        <v>0</v>
      </c>
      <c r="P58" s="7">
        <f>P42*(MIN(Assumptions!$C$42,Assumptions!$C$100)*(Assumptions!$C$33+Assumptions!$C$34)+MIN(Assumptions!$C$42,Assumptions!$C$101)*Assumptions!$C$35)</f>
        <v>0</v>
      </c>
      <c r="Q58" s="7">
        <f>Q42*(MIN(Assumptions!$C$42,Assumptions!$C$100)*(Assumptions!$C$33+Assumptions!$C$34)+MIN(Assumptions!$C$42,Assumptions!$C$101)*Assumptions!$C$35)</f>
        <v>0</v>
      </c>
      <c r="R58" s="7">
        <f>R42*(MIN(Assumptions!$C$42,Assumptions!$C$100)*(Assumptions!$C$33+Assumptions!$C$34)+MIN(Assumptions!$C$42,Assumptions!$C$101)*Assumptions!$C$35)</f>
        <v>0</v>
      </c>
      <c r="S58" s="7">
        <f>S42*(MIN(Assumptions!$C$42,Assumptions!$C$100)*(Assumptions!$C$33+Assumptions!$C$34)+MIN(Assumptions!$C$42,Assumptions!$C$101)*Assumptions!$C$35)</f>
        <v>0</v>
      </c>
      <c r="T58" s="7">
        <f>T42*(MIN(Assumptions!$C$42,Assumptions!$C$100)*(Assumptions!$C$33+Assumptions!$C$34)+MIN(Assumptions!$C$42,Assumptions!$C$101)*Assumptions!$C$35)</f>
        <v>0</v>
      </c>
      <c r="U58" s="7">
        <f>U42*(MIN(Assumptions!$C$42,Assumptions!$C$100)*(Assumptions!$C$33+Assumptions!$C$34)+MIN(Assumptions!$C$42,Assumptions!$C$101)*Assumptions!$C$35)</f>
        <v>0</v>
      </c>
      <c r="V58" s="7">
        <f>V42*(MIN(Assumptions!$C$42,Assumptions!$C$100)*(Assumptions!$C$33+Assumptions!$C$34)+MIN(Assumptions!$C$42,Assumptions!$C$101)*Assumptions!$C$35)</f>
        <v>0</v>
      </c>
      <c r="W58" s="7">
        <f>W42*(MIN(Assumptions!$C$42,Assumptions!$C$100)*(Assumptions!$C$33+Assumptions!$C$34)+MIN(Assumptions!$C$42,Assumptions!$C$101)*Assumptions!$C$35)</f>
        <v>0</v>
      </c>
      <c r="X58" s="7">
        <f>X42*(MIN(Assumptions!$C$42,Assumptions!$C$100)*(Assumptions!$C$33+Assumptions!$C$34)+MIN(Assumptions!$C$42,Assumptions!$C$101)*Assumptions!$C$35)</f>
        <v>0</v>
      </c>
      <c r="Y58" s="7">
        <f>Y42*(MIN(Assumptions!$C$42,Assumptions!$C$100)*(Assumptions!$C$33+Assumptions!$C$34)+MIN(Assumptions!$C$42,Assumptions!$C$101)*Assumptions!$C$35)</f>
        <v>0</v>
      </c>
      <c r="Z58" s="7">
        <f>Z42*(MIN(Assumptions!$C$42,Assumptions!$C$100)*(Assumptions!$C$33+Assumptions!$C$34)+MIN(Assumptions!$C$42,Assumptions!$C$101)*Assumptions!$C$35)</f>
        <v>0</v>
      </c>
    </row>
    <row r="59" spans="1:26" ht="16.5" customHeight="1">
      <c r="A59" s="11" t="s">
        <v>322</v>
      </c>
      <c r="B59" s="1" t="s">
        <v>84</v>
      </c>
      <c r="C59" s="7">
        <f>C40*Assumptions!$C$43</f>
        <v>1312.68</v>
      </c>
      <c r="D59" s="7">
        <f>D40*Assumptions!$C$43</f>
        <v>2412.9271199999998</v>
      </c>
      <c r="E59" s="7">
        <f>E40*Assumptions!$C$43</f>
        <v>2828.8889759999997</v>
      </c>
      <c r="F59" s="7">
        <f>F40*Assumptions!$C$43</f>
        <v>3176.0222064960003</v>
      </c>
      <c r="G59" s="7">
        <f>G40*Assumptions!$C$43</f>
        <v>3481.0936597522559</v>
      </c>
      <c r="H59" s="7">
        <f>H40*Assumptions!$C$43</f>
        <v>3759.6793340085123</v>
      </c>
      <c r="I59" s="7">
        <f>I40*Assumptions!$C$43</f>
        <v>4022.839673735748</v>
      </c>
      <c r="J59" s="7">
        <f>J40*Assumptions!$C$43</f>
        <v>4278.4814982151811</v>
      </c>
      <c r="K59" s="7">
        <f>K40*Assumptions!$C$43</f>
        <v>4532.3117530555428</v>
      </c>
      <c r="L59" s="7">
        <f>L40*Assumptions!$C$43</f>
        <v>4788.5055553858083</v>
      </c>
      <c r="M59" s="7">
        <f>M40*Assumptions!$C$43</f>
        <v>5050.1742632775949</v>
      </c>
      <c r="N59" s="7">
        <f>N40*Assumptions!$C$43</f>
        <v>5319.6935818651882</v>
      </c>
      <c r="O59" s="7">
        <f>O40*Assumptions!$C$43</f>
        <v>5598.9337160153818</v>
      </c>
      <c r="P59" s="7">
        <f>P40*Assumptions!$C$43</f>
        <v>5889.4209776156786</v>
      </c>
      <c r="Q59" s="7">
        <f>Q40*Assumptions!$C$43</f>
        <v>6192.4514343511883</v>
      </c>
      <c r="R59" s="7">
        <f>R40*Assumptions!$C$43</f>
        <v>6509.1710120552261</v>
      </c>
      <c r="S59" s="7">
        <f>S40*Assumptions!$C$43</f>
        <v>6840.6321404254513</v>
      </c>
      <c r="T59" s="7">
        <f>T40*Assumptions!$C$43</f>
        <v>7187.8340063519536</v>
      </c>
      <c r="U59" s="7">
        <f>U40*Assumptions!$C$43</f>
        <v>7551.7513612852654</v>
      </c>
      <c r="V59" s="7">
        <f>V40*Assumptions!$C$43</f>
        <v>7933.3553466661297</v>
      </c>
      <c r="W59" s="7">
        <f>W40*Assumptions!$C$43</f>
        <v>8333.6287638251797</v>
      </c>
      <c r="X59" s="7">
        <f>X40*Assumptions!$C$43</f>
        <v>8753.577488505518</v>
      </c>
      <c r="Y59" s="7">
        <f>Y40*Assumptions!$C$43</f>
        <v>9194.2392218611021</v>
      </c>
      <c r="Z59" s="7">
        <f>Z40*Assumptions!$C$43</f>
        <v>9656.690414056493</v>
      </c>
    </row>
    <row r="60" spans="1:26" ht="16.5" customHeight="1">
      <c r="A60" s="1" t="s">
        <v>323</v>
      </c>
      <c r="B60" s="1" t="s">
        <v>84</v>
      </c>
      <c r="C60" s="7">
        <f>SUM(C56:C58)*Assumptions!$C$44</f>
        <v>2860.5600000000004</v>
      </c>
      <c r="D60" s="7">
        <f>SUM(D56:D58)*Assumptions!$C$44</f>
        <v>2392.9820400000003</v>
      </c>
      <c r="E60" s="7">
        <f>SUM(E56:E58)*Assumptions!$C$44</f>
        <v>2999.26854</v>
      </c>
      <c r="F60" s="7">
        <f>SUM(F56:F58)*Assumptions!$C$44</f>
        <v>3606.0766034400003</v>
      </c>
      <c r="G60" s="7">
        <f>SUM(G56:G58)*Assumptions!$C$44</f>
        <v>4213.9870133198401</v>
      </c>
      <c r="H60" s="7">
        <f>SUM(H56:H58)*Assumptions!$C$44</f>
        <v>4824.926122592371</v>
      </c>
      <c r="I60" s="7">
        <f>SUM(I56:I58)*Assumptions!$C$44</f>
        <v>5440.7968427777087</v>
      </c>
      <c r="J60" s="7">
        <f>SUM(J56:J58)*Assumptions!$C$44</f>
        <v>6063.4851364727492</v>
      </c>
      <c r="K60" s="7">
        <f>SUM(K56:K58)*Assumptions!$C$44</f>
        <v>6694.8663439529446</v>
      </c>
      <c r="L60" s="7">
        <f>SUM(L56:L58)*Assumptions!$C$44</f>
        <v>7336.8113669651329</v>
      </c>
      <c r="M60" s="7">
        <f>SUM(M56:M58)*Assumptions!$C$44</f>
        <v>7991.1927319557999</v>
      </c>
      <c r="N60" s="7">
        <f>SUM(N56:N58)*Assumptions!$C$44</f>
        <v>8659.8905542108841</v>
      </c>
      <c r="O60" s="7">
        <f>SUM(O56:O58)*Assumptions!$C$44</f>
        <v>9344.7984236966568</v>
      </c>
      <c r="P60" s="7">
        <f>SUM(P56:P58)*Assumptions!$C$44</f>
        <v>10047.829232783104</v>
      </c>
      <c r="Q60" s="7">
        <f>SUM(Q56:Q58)*Assumptions!$C$44</f>
        <v>10770.92096549817</v>
      </c>
      <c r="R60" s="7">
        <f>SUM(R56:R58)*Assumptions!$C$44</f>
        <v>11516.04246750013</v>
      </c>
      <c r="S60" s="7">
        <f>SUM(S56:S58)*Assumptions!$C$44</f>
        <v>12285.199215563658</v>
      </c>
      <c r="T60" s="7">
        <f>SUM(T56:T58)*Assumptions!$C$44</f>
        <v>13080.439105050296</v>
      </c>
      <c r="U60" s="7">
        <f>SUM(U56:U58)*Assumptions!$C$44</f>
        <v>13903.858273573926</v>
      </c>
      <c r="V60" s="7">
        <f>SUM(V56:V58)*Assumptions!$C$44</f>
        <v>14757.606978874386</v>
      </c>
      <c r="W60" s="7">
        <f>SUM(W56:W58)*Assumptions!$C$44</f>
        <v>15643.895548776076</v>
      </c>
      <c r="X60" s="7">
        <f>SUM(X56:X58)*Assumptions!$C$44</f>
        <v>16565.000421031538</v>
      </c>
      <c r="Y60" s="7">
        <f>SUM(Y56:Y58)*Assumptions!$C$44</f>
        <v>17523.270290831511</v>
      </c>
      <c r="Z60" s="7">
        <f>SUM(Z56:Z58)*Assumptions!$C$44</f>
        <v>18521.132383801581</v>
      </c>
    </row>
    <row r="61" spans="1:26" ht="16.5" customHeight="1">
      <c r="A61" s="11" t="s">
        <v>324</v>
      </c>
      <c r="B61" s="1" t="s">
        <v>153</v>
      </c>
      <c r="C61" s="7">
        <f>C60*Assumptions!$C$45*Assumptions!$C$47</f>
        <v>1716336.0000000002</v>
      </c>
      <c r="D61" s="7">
        <f>D60*Assumptions!$C$45*Assumptions!$C$47</f>
        <v>1435789.2240000002</v>
      </c>
      <c r="E61" s="7">
        <f>E60*Assumptions!$C$45*Assumptions!$C$47</f>
        <v>1799561.1240000001</v>
      </c>
      <c r="F61" s="7">
        <f>F60*Assumptions!$C$45*Assumptions!$C$47</f>
        <v>2163645.9620639998</v>
      </c>
      <c r="G61" s="7">
        <f>G60*Assumptions!$C$45*Assumptions!$C$47</f>
        <v>2528392.2079919036</v>
      </c>
      <c r="H61" s="7">
        <f>H60*Assumptions!$C$45*Assumptions!$C$47</f>
        <v>2894955.6735554226</v>
      </c>
      <c r="I61" s="7">
        <f>I60*Assumptions!$C$45*Assumptions!$C$47</f>
        <v>3264478.1056666248</v>
      </c>
      <c r="J61" s="7">
        <f>J60*Assumptions!$C$45*Assumptions!$C$47</f>
        <v>3638091.0818836498</v>
      </c>
      <c r="K61" s="7">
        <f>K60*Assumptions!$C$45*Assumptions!$C$47</f>
        <v>4016919.8063717666</v>
      </c>
      <c r="L61" s="7">
        <f>L60*Assumptions!$C$45*Assumptions!$C$47</f>
        <v>4402086.8201790797</v>
      </c>
      <c r="M61" s="7">
        <f>M60*Assumptions!$C$45*Assumptions!$C$47</f>
        <v>4794715.6391734798</v>
      </c>
      <c r="N61" s="7">
        <f>N60*Assumptions!$C$45*Assumptions!$C$47</f>
        <v>5195934.3325265301</v>
      </c>
      <c r="O61" s="7">
        <f>O60*Assumptions!$C$45*Assumptions!$C$47</f>
        <v>5606879.0542179942</v>
      </c>
      <c r="P61" s="7">
        <f>P60*Assumptions!$C$45*Assumptions!$C$47</f>
        <v>6028697.539669862</v>
      </c>
      <c r="Q61" s="7">
        <f>Q60*Assumptions!$C$45*Assumptions!$C$47</f>
        <v>6462552.5792989014</v>
      </c>
      <c r="R61" s="7">
        <f>R60*Assumptions!$C$45*Assumptions!$C$47</f>
        <v>6909625.4805000778</v>
      </c>
      <c r="S61" s="7">
        <f>S60*Assumptions!$C$45*Assumptions!$C$47</f>
        <v>7371119.529338195</v>
      </c>
      <c r="T61" s="7">
        <f>T60*Assumptions!$C$45*Assumptions!$C$47</f>
        <v>7848263.4630301772</v>
      </c>
      <c r="U61" s="7">
        <f>U60*Assumptions!$C$45*Assumptions!$C$47</f>
        <v>8342314.9641443547</v>
      </c>
      <c r="V61" s="7">
        <f>V60*Assumptions!$C$45*Assumptions!$C$47</f>
        <v>8854564.1873246301</v>
      </c>
      <c r="W61" s="7">
        <f>W60*Assumptions!$C$45*Assumptions!$C$47</f>
        <v>9386337.3292656448</v>
      </c>
      <c r="X61" s="7">
        <f>X60*Assumptions!$C$45*Assumptions!$C$47</f>
        <v>9939000.2526189219</v>
      </c>
      <c r="Y61" s="7">
        <f>Y60*Assumptions!$C$45*Assumptions!$C$47</f>
        <v>10513962.174498906</v>
      </c>
      <c r="Z61" s="7">
        <f>Z60*Assumptions!$C$45*Assumptions!$C$47</f>
        <v>11112679.43028095</v>
      </c>
    </row>
    <row r="62" spans="1:26" ht="16.5" customHeight="1">
      <c r="A62" s="11" t="s">
        <v>325</v>
      </c>
      <c r="B62" s="1" t="s">
        <v>153</v>
      </c>
      <c r="C62" s="7">
        <f>C60*Assumptions!$C$46*Assumptions!$C$47</f>
        <v>343267.20000000007</v>
      </c>
      <c r="D62" s="7">
        <f>D60*Assumptions!$C$46*Assumptions!$C$47</f>
        <v>287157.84480000002</v>
      </c>
      <c r="E62" s="7">
        <f>E60*Assumptions!$C$46*Assumptions!$C$47</f>
        <v>359912.22479999997</v>
      </c>
      <c r="F62" s="7">
        <f>F60*Assumptions!$C$46*Assumptions!$C$47</f>
        <v>432729.19241280004</v>
      </c>
      <c r="G62" s="7">
        <f>G60*Assumptions!$C$46*Assumptions!$C$47</f>
        <v>505678.4415983808</v>
      </c>
      <c r="H62" s="7">
        <f>H60*Assumptions!$C$46*Assumptions!$C$47</f>
        <v>578991.13471108454</v>
      </c>
      <c r="I62" s="7">
        <f>I60*Assumptions!$C$46*Assumptions!$C$47</f>
        <v>652895.62113332492</v>
      </c>
      <c r="J62" s="7">
        <f>J60*Assumptions!$C$46*Assumptions!$C$47</f>
        <v>727618.21637672989</v>
      </c>
      <c r="K62" s="7">
        <f>K60*Assumptions!$C$46*Assumptions!$C$47</f>
        <v>803383.96127435332</v>
      </c>
      <c r="L62" s="7">
        <f>L60*Assumptions!$C$46*Assumptions!$C$47</f>
        <v>880417.36403581593</v>
      </c>
      <c r="M62" s="7">
        <f>M60*Assumptions!$C$46*Assumptions!$C$47</f>
        <v>958943.12783469597</v>
      </c>
      <c r="N62" s="7">
        <f>N60*Assumptions!$C$46*Assumptions!$C$47</f>
        <v>1039186.866505306</v>
      </c>
      <c r="O62" s="7">
        <f>O60*Assumptions!$C$46*Assumptions!$C$47</f>
        <v>1121375.8108435988</v>
      </c>
      <c r="P62" s="7">
        <f>P60*Assumptions!$C$46*Assumptions!$C$47</f>
        <v>1205739.5079339724</v>
      </c>
      <c r="Q62" s="7">
        <f>Q60*Assumptions!$C$46*Assumptions!$C$47</f>
        <v>1292510.5158597801</v>
      </c>
      <c r="R62" s="7">
        <f>R60*Assumptions!$C$46*Assumptions!$C$47</f>
        <v>1381925.0961000156</v>
      </c>
      <c r="S62" s="7">
        <f>S60*Assumptions!$C$46*Assumptions!$C$47</f>
        <v>1474223.905867639</v>
      </c>
      <c r="T62" s="7">
        <f>T60*Assumptions!$C$46*Assumptions!$C$47</f>
        <v>1569652.6926060354</v>
      </c>
      <c r="U62" s="7">
        <f>U60*Assumptions!$C$46*Assumptions!$C$47</f>
        <v>1668462.9928288709</v>
      </c>
      <c r="V62" s="7">
        <f>V60*Assumptions!$C$46*Assumptions!$C$47</f>
        <v>1770912.8374649263</v>
      </c>
      <c r="W62" s="7">
        <f>W60*Assumptions!$C$46*Assumptions!$C$47</f>
        <v>1877267.465853129</v>
      </c>
      <c r="X62" s="7">
        <f>X60*Assumptions!$C$46*Assumptions!$C$47</f>
        <v>1987800.0505237845</v>
      </c>
      <c r="Y62" s="7">
        <f>Y60*Assumptions!$C$46*Assumptions!$C$47</f>
        <v>2102792.4348997814</v>
      </c>
      <c r="Z62" s="7">
        <f>Z60*Assumptions!$C$46*Assumptions!$C$47</f>
        <v>2222535.8860561894</v>
      </c>
    </row>
    <row r="63" spans="1:26" ht="16.5" customHeight="1">
      <c r="A63" s="11" t="s">
        <v>326</v>
      </c>
      <c r="B63" s="1" t="s">
        <v>75</v>
      </c>
      <c r="C63" s="12">
        <f>(C61*(Assumptions!$C$49*(1-Assumptions!$C$48)+Assumptions!$C$51*Assumptions!$C$48)+C62*(Assumptions!$C$50*(1-Assumptions!$C$48)+Assumptions!$C$52*Assumptions!$C$48))/1000000*Assumptions!$C$54</f>
        <v>3820.5639360000009</v>
      </c>
      <c r="D63" s="12">
        <f>(D61*(Assumptions!$C$49*(1-Assumptions!$C$48)+Assumptions!$C$51*Assumptions!$C$48)+D62*(Assumptions!$C$50*(1-Assumptions!$C$48)+Assumptions!$C$52*Assumptions!$C$48))/1000000*Assumptions!$C$54</f>
        <v>3196.0668126239998</v>
      </c>
      <c r="E63" s="12">
        <f>(E61*(Assumptions!$C$49*(1-Assumptions!$C$48)+Assumptions!$C$51*Assumptions!$C$48)+E62*(Assumptions!$C$50*(1-Assumptions!$C$48)+Assumptions!$C$52*Assumptions!$C$48))/1000000*Assumptions!$C$54</f>
        <v>4005.8230620240001</v>
      </c>
      <c r="F63" s="12">
        <f>(F61*(Assumptions!$C$49*(1-Assumptions!$C$48)+Assumptions!$C$51*Assumptions!$C$48)+F62*(Assumptions!$C$50*(1-Assumptions!$C$48)+Assumptions!$C$52*Assumptions!$C$48))/1000000*Assumptions!$C$54</f>
        <v>4816.2759115544641</v>
      </c>
      <c r="G63" s="12">
        <f>(G61*(Assumptions!$C$49*(1-Assumptions!$C$48)+Assumptions!$C$51*Assumptions!$C$48)+G62*(Assumptions!$C$50*(1-Assumptions!$C$48)+Assumptions!$C$52*Assumptions!$C$48))/1000000*Assumptions!$C$54</f>
        <v>5628.2010549899787</v>
      </c>
      <c r="H63" s="12">
        <f>(H61*(Assumptions!$C$49*(1-Assumptions!$C$48)+Assumptions!$C$51*Assumptions!$C$48)+H62*(Assumptions!$C$50*(1-Assumptions!$C$48)+Assumptions!$C$52*Assumptions!$C$48))/1000000*Assumptions!$C$54</f>
        <v>6444.1713293343719</v>
      </c>
      <c r="I63" s="12">
        <f>(I61*(Assumptions!$C$49*(1-Assumptions!$C$48)+Assumptions!$C$51*Assumptions!$C$48)+I62*(Assumptions!$C$50*(1-Assumptions!$C$48)+Assumptions!$C$52*Assumptions!$C$48))/1000000*Assumptions!$C$54</f>
        <v>7266.7282632139068</v>
      </c>
      <c r="J63" s="12">
        <f>(J61*(Assumptions!$C$49*(1-Assumptions!$C$48)+Assumptions!$C$51*Assumptions!$C$48)+J62*(Assumptions!$C$50*(1-Assumptions!$C$48)+Assumptions!$C$52*Assumptions!$C$48))/1000000*Assumptions!$C$54</f>
        <v>8098.3907482730046</v>
      </c>
      <c r="K63" s="12">
        <f>(K61*(Assumptions!$C$49*(1-Assumptions!$C$48)+Assumptions!$C$51*Assumptions!$C$48)+K62*(Assumptions!$C$50*(1-Assumptions!$C$48)+Assumptions!$C$52*Assumptions!$C$48))/1000000*Assumptions!$C$54</f>
        <v>8941.6634889835514</v>
      </c>
      <c r="L63" s="12">
        <f>(L61*(Assumptions!$C$49*(1-Assumptions!$C$48)+Assumptions!$C$51*Assumptions!$C$48)+L62*(Assumptions!$C$50*(1-Assumptions!$C$48)+Assumptions!$C$52*Assumptions!$C$48))/1000000*Assumptions!$C$54</f>
        <v>9799.0452617186329</v>
      </c>
      <c r="M63" s="12">
        <f>(M61*(Assumptions!$C$49*(1-Assumptions!$C$48)+Assumptions!$C$51*Assumptions!$C$48)+M62*(Assumptions!$C$50*(1-Assumptions!$C$48)+Assumptions!$C$52*Assumptions!$C$48))/1000000*Assumptions!$C$54</f>
        <v>10673.037012800165</v>
      </c>
      <c r="N63" s="12">
        <f>(N61*(Assumptions!$C$49*(1-Assumptions!$C$48)+Assumptions!$C$51*Assumptions!$C$48)+N62*(Assumptions!$C$50*(1-Assumptions!$C$48)+Assumptions!$C$52*Assumptions!$C$48))/1000000*Assumptions!$C$54</f>
        <v>11566.149824204058</v>
      </c>
      <c r="O63" s="12">
        <f>(O61*(Assumptions!$C$49*(1-Assumptions!$C$48)+Assumptions!$C$51*Assumptions!$C$48)+O62*(Assumptions!$C$50*(1-Assumptions!$C$48)+Assumptions!$C$52*Assumptions!$C$48))/1000000*Assumptions!$C$54</f>
        <v>12480.912774689255</v>
      </c>
      <c r="P63" s="12">
        <f>(P61*(Assumptions!$C$49*(1-Assumptions!$C$48)+Assumptions!$C$51*Assumptions!$C$48)+P62*(Assumptions!$C$50*(1-Assumptions!$C$48)+Assumptions!$C$52*Assumptions!$C$48))/1000000*Assumptions!$C$54</f>
        <v>13419.880723305112</v>
      </c>
      <c r="Q63" s="12">
        <f>(Q61*(Assumptions!$C$49*(1-Assumptions!$C$48)+Assumptions!$C$51*Assumptions!$C$48)+Q62*(Assumptions!$C$50*(1-Assumptions!$C$48)+Assumptions!$C$52*Assumptions!$C$48))/1000000*Assumptions!$C$54</f>
        <v>14385.642041519355</v>
      </c>
      <c r="R63" s="12">
        <f>(R61*(Assumptions!$C$49*(1-Assumptions!$C$48)+Assumptions!$C$51*Assumptions!$C$48)+R62*(Assumptions!$C$50*(1-Assumptions!$C$48)+Assumptions!$C$52*Assumptions!$C$48))/1000000*Assumptions!$C$54</f>
        <v>15380.826319593174</v>
      </c>
      <c r="S63" s="12">
        <f>(S61*(Assumptions!$C$49*(1-Assumptions!$C$48)+Assumptions!$C$51*Assumptions!$C$48)+S62*(Assumptions!$C$50*(1-Assumptions!$C$48)+Assumptions!$C$52*Assumptions!$C$48))/1000000*Assumptions!$C$54</f>
        <v>16408.112072306823</v>
      </c>
      <c r="T63" s="12">
        <f>(T61*(Assumptions!$C$49*(1-Assumptions!$C$48)+Assumptions!$C$51*Assumptions!$C$48)+T62*(Assumptions!$C$50*(1-Assumptions!$C$48)+Assumptions!$C$52*Assumptions!$C$48))/1000000*Assumptions!$C$54</f>
        <v>17470.234468705174</v>
      </c>
      <c r="U63" s="12">
        <f>(U61*(Assumptions!$C$49*(1-Assumptions!$C$48)+Assumptions!$C$51*Assumptions!$C$48)+U62*(Assumptions!$C$50*(1-Assumptions!$C$48)+Assumptions!$C$52*Assumptions!$C$48))/1000000*Assumptions!$C$54</f>
        <v>18569.993110185336</v>
      </c>
      <c r="V63" s="12">
        <f>(V61*(Assumptions!$C$49*(1-Assumptions!$C$48)+Assumptions!$C$51*Assumptions!$C$48)+V62*(Assumptions!$C$50*(1-Assumptions!$C$48)+Assumptions!$C$52*Assumptions!$C$48))/1000000*Assumptions!$C$54</f>
        <v>19710.259880984628</v>
      </c>
      <c r="W63" s="12">
        <f>(W61*(Assumptions!$C$49*(1-Assumptions!$C$48)+Assumptions!$C$51*Assumptions!$C$48)+W62*(Assumptions!$C$50*(1-Assumptions!$C$48)+Assumptions!$C$52*Assumptions!$C$48))/1000000*Assumptions!$C$54</f>
        <v>20893.98689494533</v>
      </c>
      <c r="X63" s="12">
        <f>(X61*(Assumptions!$C$49*(1-Assumptions!$C$48)+Assumptions!$C$51*Assumptions!$C$48)+X62*(Assumptions!$C$50*(1-Assumptions!$C$48)+Assumptions!$C$52*Assumptions!$C$48))/1000000*Assumptions!$C$54</f>
        <v>22124.214562329718</v>
      </c>
      <c r="Y63" s="12">
        <f>(Y61*(Assumptions!$C$49*(1-Assumptions!$C$48)+Assumptions!$C$51*Assumptions!$C$48)+Y62*(Assumptions!$C$50*(1-Assumptions!$C$48)+Assumptions!$C$52*Assumptions!$C$48))/1000000*Assumptions!$C$54</f>
        <v>23404.079800434567</v>
      </c>
      <c r="Z63" s="12">
        <f>(Z61*(Assumptions!$C$49*(1-Assumptions!$C$48)+Assumptions!$C$51*Assumptions!$C$48)+Z62*(Assumptions!$C$50*(1-Assumptions!$C$48)+Assumptions!$C$52*Assumptions!$C$48))/1000000*Assumptions!$C$54</f>
        <v>24736.824411805395</v>
      </c>
    </row>
    <row r="64" spans="1:26" ht="16.5" customHeight="1">
      <c r="A64" s="11" t="s">
        <v>327</v>
      </c>
      <c r="B64" s="1" t="s">
        <v>75</v>
      </c>
      <c r="C64" s="12">
        <f>C63*Assumptions!$C$53</f>
        <v>210.13101648000006</v>
      </c>
      <c r="D64" s="12">
        <f>D63*Assumptions!$C$53</f>
        <v>175.78367469431998</v>
      </c>
      <c r="E64" s="12">
        <f>E63*Assumptions!$C$53</f>
        <v>220.32026841132</v>
      </c>
      <c r="F64" s="12">
        <f>F63*Assumptions!$C$53</f>
        <v>264.89517513549555</v>
      </c>
      <c r="G64" s="12">
        <f>G63*Assumptions!$C$53</f>
        <v>309.55105802444882</v>
      </c>
      <c r="H64" s="12">
        <f>H63*Assumptions!$C$53</f>
        <v>354.42942311339044</v>
      </c>
      <c r="I64" s="12">
        <f>I63*Assumptions!$C$53</f>
        <v>399.67005447676485</v>
      </c>
      <c r="J64" s="12">
        <f>J63*Assumptions!$C$53</f>
        <v>445.41149115501526</v>
      </c>
      <c r="K64" s="12">
        <f>K63*Assumptions!$C$53</f>
        <v>491.79149189409532</v>
      </c>
      <c r="L64" s="12">
        <f>L63*Assumptions!$C$53</f>
        <v>538.94748939452484</v>
      </c>
      <c r="M64" s="12">
        <f>M63*Assumptions!$C$53</f>
        <v>587.01703570400912</v>
      </c>
      <c r="N64" s="12">
        <f>N63*Assumptions!$C$53</f>
        <v>636.13824033122319</v>
      </c>
      <c r="O64" s="12">
        <f>O63*Assumptions!$C$53</f>
        <v>686.45020260790909</v>
      </c>
      <c r="P64" s="12">
        <f>P63*Assumptions!$C$53</f>
        <v>738.09343978178117</v>
      </c>
      <c r="Q64" s="12">
        <f>Q63*Assumptions!$C$53</f>
        <v>791.21031228356458</v>
      </c>
      <c r="R64" s="12">
        <f>R63*Assumptions!$C$53</f>
        <v>845.94544757762458</v>
      </c>
      <c r="S64" s="12">
        <f>S63*Assumptions!$C$53</f>
        <v>902.44616397687525</v>
      </c>
      <c r="T64" s="12">
        <f>T63*Assumptions!$C$53</f>
        <v>960.8628957787846</v>
      </c>
      <c r="U64" s="12">
        <f>U63*Assumptions!$C$53</f>
        <v>1021.3496210601935</v>
      </c>
      <c r="V64" s="12">
        <f>V63*Assumptions!$C$53</f>
        <v>1084.0642934541545</v>
      </c>
      <c r="W64" s="12">
        <f>W63*Assumptions!$C$53</f>
        <v>1149.1692792219931</v>
      </c>
      <c r="X64" s="12">
        <f>X63*Assumptions!$C$53</f>
        <v>1216.8318009281345</v>
      </c>
      <c r="Y64" s="12">
        <f>Y63*Assumptions!$C$53</f>
        <v>1287.2243890239013</v>
      </c>
      <c r="Z64" s="12">
        <f>Z63*Assumptions!$C$53</f>
        <v>1360.5253426492968</v>
      </c>
    </row>
    <row r="65" spans="1:26" ht="16.5" customHeight="1">
      <c r="A65" s="1" t="s">
        <v>328</v>
      </c>
      <c r="B65" s="1" t="s">
        <v>75</v>
      </c>
      <c r="C65" s="12">
        <f>C60*Assumptions!$C$55*Assumptions!$C$56</f>
        <v>0</v>
      </c>
      <c r="D65" s="12">
        <f>D60*Assumptions!$C$55*Assumptions!$C$56</f>
        <v>0</v>
      </c>
      <c r="E65" s="12">
        <f>E60*Assumptions!$C$55*Assumptions!$C$56</f>
        <v>0</v>
      </c>
      <c r="F65" s="12">
        <f>F60*Assumptions!$C$55*Assumptions!$C$56</f>
        <v>0</v>
      </c>
      <c r="G65" s="12">
        <f>G60*Assumptions!$C$55*Assumptions!$C$56</f>
        <v>0</v>
      </c>
      <c r="H65" s="12">
        <f>H60*Assumptions!$C$55*Assumptions!$C$56</f>
        <v>0</v>
      </c>
      <c r="I65" s="12">
        <f>I60*Assumptions!$C$55*Assumptions!$C$56</f>
        <v>0</v>
      </c>
      <c r="J65" s="12">
        <f>J60*Assumptions!$C$55*Assumptions!$C$56</f>
        <v>0</v>
      </c>
      <c r="K65" s="12">
        <f>K60*Assumptions!$C$55*Assumptions!$C$56</f>
        <v>0</v>
      </c>
      <c r="L65" s="12">
        <f>L60*Assumptions!$C$55*Assumptions!$C$56</f>
        <v>0</v>
      </c>
      <c r="M65" s="12">
        <f>M60*Assumptions!$C$55*Assumptions!$C$56</f>
        <v>0</v>
      </c>
      <c r="N65" s="12">
        <f>N60*Assumptions!$C$55*Assumptions!$C$56</f>
        <v>0</v>
      </c>
      <c r="O65" s="12">
        <f>O60*Assumptions!$C$55*Assumptions!$C$56</f>
        <v>0</v>
      </c>
      <c r="P65" s="12">
        <f>P60*Assumptions!$C$55*Assumptions!$C$56</f>
        <v>0</v>
      </c>
      <c r="Q65" s="12">
        <f>Q60*Assumptions!$C$55*Assumptions!$C$56</f>
        <v>0</v>
      </c>
      <c r="R65" s="12">
        <f>R60*Assumptions!$C$55*Assumptions!$C$56</f>
        <v>0</v>
      </c>
      <c r="S65" s="12">
        <f>S60*Assumptions!$C$55*Assumptions!$C$56</f>
        <v>0</v>
      </c>
      <c r="T65" s="12">
        <f>T60*Assumptions!$C$55*Assumptions!$C$56</f>
        <v>0</v>
      </c>
      <c r="U65" s="12">
        <f>U60*Assumptions!$C$55*Assumptions!$C$56</f>
        <v>0</v>
      </c>
      <c r="V65" s="12">
        <f>V60*Assumptions!$C$55*Assumptions!$C$56</f>
        <v>0</v>
      </c>
      <c r="W65" s="12">
        <f>W60*Assumptions!$C$55*Assumptions!$C$56</f>
        <v>0</v>
      </c>
      <c r="X65" s="12">
        <f>X60*Assumptions!$C$55*Assumptions!$C$56</f>
        <v>0</v>
      </c>
      <c r="Y65" s="12">
        <f>Y60*Assumptions!$C$55*Assumptions!$C$56</f>
        <v>0</v>
      </c>
      <c r="Z65" s="12">
        <f>Z60*Assumptions!$C$55*Assumptions!$C$56</f>
        <v>0</v>
      </c>
    </row>
    <row r="66" spans="1:26" ht="16.5" customHeight="1">
      <c r="A66" s="11" t="s">
        <v>329</v>
      </c>
      <c r="B66" s="1" t="s">
        <v>75</v>
      </c>
      <c r="C66" s="12">
        <f>IF(C95=0,0,Assumptions!$C$58+MAX(0,C96+Assumptions!$C$59-Assumptions!$C$58))*Assumptions!$C$54</f>
        <v>28000</v>
      </c>
      <c r="D66" s="12">
        <f>IF(D95=0,0,Assumptions!$C$58+MAX(0,D96+Assumptions!$C$59-Assumptions!$C$58))*Assumptions!$C$54</f>
        <v>28000</v>
      </c>
      <c r="E66" s="12">
        <f>IF(E95=0,0,Assumptions!$C$58+MAX(0,E96+Assumptions!$C$59-Assumptions!$C$58))*Assumptions!$C$54</f>
        <v>28000</v>
      </c>
      <c r="F66" s="12">
        <f>IF(F95=0,0,Assumptions!$C$58+MAX(0,F96+Assumptions!$C$59-Assumptions!$C$58))*Assumptions!$C$54</f>
        <v>28000</v>
      </c>
      <c r="G66" s="12">
        <f>IF(G95=0,0,Assumptions!$C$58+MAX(0,G96+Assumptions!$C$59-Assumptions!$C$58))*Assumptions!$C$54</f>
        <v>28000</v>
      </c>
      <c r="H66" s="12">
        <f>IF(H95=0,0,Assumptions!$C$58+MAX(0,H96+Assumptions!$C$59-Assumptions!$C$58))*Assumptions!$C$54</f>
        <v>28000</v>
      </c>
      <c r="I66" s="12">
        <f>IF(I95=0,0,Assumptions!$C$58+MAX(0,I96+Assumptions!$C$59-Assumptions!$C$58))*Assumptions!$C$54</f>
        <v>28000</v>
      </c>
      <c r="J66" s="12">
        <f>IF(J95=0,0,Assumptions!$C$58+MAX(0,J96+Assumptions!$C$59-Assumptions!$C$58))*Assumptions!$C$54</f>
        <v>28000</v>
      </c>
      <c r="K66" s="12">
        <f>IF(K95=0,0,Assumptions!$C$58+MAX(0,K96+Assumptions!$C$59-Assumptions!$C$58))*Assumptions!$C$54</f>
        <v>28000</v>
      </c>
      <c r="L66" s="12">
        <f>IF(L95=0,0,Assumptions!$C$58+MAX(0,L96+Assumptions!$C$59-Assumptions!$C$58))*Assumptions!$C$54</f>
        <v>28000</v>
      </c>
      <c r="M66" s="12">
        <f>IF(M95=0,0,Assumptions!$C$58+MAX(0,M96+Assumptions!$C$59-Assumptions!$C$58))*Assumptions!$C$54</f>
        <v>28000</v>
      </c>
      <c r="N66" s="12">
        <f>IF(N95=0,0,Assumptions!$C$58+MAX(0,N96+Assumptions!$C$59-Assumptions!$C$58))*Assumptions!$C$54</f>
        <v>28000</v>
      </c>
      <c r="O66" s="12">
        <f>IF(O95=0,0,Assumptions!$C$58+MAX(0,O96+Assumptions!$C$59-Assumptions!$C$58))*Assumptions!$C$54</f>
        <v>28000</v>
      </c>
      <c r="P66" s="12">
        <f>IF(P95=0,0,Assumptions!$C$58+MAX(0,P96+Assumptions!$C$59-Assumptions!$C$58))*Assumptions!$C$54</f>
        <v>28000</v>
      </c>
      <c r="Q66" s="12">
        <f>IF(Q95=0,0,Assumptions!$C$58+MAX(0,Q96+Assumptions!$C$59-Assumptions!$C$58))*Assumptions!$C$54</f>
        <v>28000</v>
      </c>
      <c r="R66" s="12">
        <f>IF(R95=0,0,Assumptions!$C$58+MAX(0,R96+Assumptions!$C$59-Assumptions!$C$58))*Assumptions!$C$54</f>
        <v>28000</v>
      </c>
      <c r="S66" s="12">
        <f>IF(S95=0,0,Assumptions!$C$58+MAX(0,S96+Assumptions!$C$59-Assumptions!$C$58))*Assumptions!$C$54</f>
        <v>28000</v>
      </c>
      <c r="T66" s="12">
        <f>IF(T95=0,0,Assumptions!$C$58+MAX(0,T96+Assumptions!$C$59-Assumptions!$C$58))*Assumptions!$C$54</f>
        <v>28000</v>
      </c>
      <c r="U66" s="12">
        <f>IF(U95=0,0,Assumptions!$C$58+MAX(0,U96+Assumptions!$C$59-Assumptions!$C$58))*Assumptions!$C$54</f>
        <v>28000</v>
      </c>
      <c r="V66" s="12">
        <f>IF(V95=0,0,Assumptions!$C$58+MAX(0,V96+Assumptions!$C$59-Assumptions!$C$58))*Assumptions!$C$54</f>
        <v>28000</v>
      </c>
      <c r="W66" s="12">
        <f>IF(W95=0,0,Assumptions!$C$58+MAX(0,W96+Assumptions!$C$59-Assumptions!$C$58))*Assumptions!$C$54</f>
        <v>28000</v>
      </c>
      <c r="X66" s="12">
        <f>IF(X95=0,0,Assumptions!$C$58+MAX(0,X96+Assumptions!$C$59-Assumptions!$C$58))*Assumptions!$C$54</f>
        <v>28000</v>
      </c>
      <c r="Y66" s="12">
        <f>IF(Y95=0,0,Assumptions!$C$58+MAX(0,Y96+Assumptions!$C$59-Assumptions!$C$58))*Assumptions!$C$54</f>
        <v>28000</v>
      </c>
      <c r="Z66" s="12">
        <f>IF(Z95=0,0,Assumptions!$C$58+MAX(0,Z96+Assumptions!$C$59-Assumptions!$C$58))*Assumptions!$C$54</f>
        <v>28000</v>
      </c>
    </row>
    <row r="67" spans="1:26" ht="16.5" customHeight="1">
      <c r="A67" s="11" t="s">
        <v>330</v>
      </c>
      <c r="B67" s="1" t="s">
        <v>75</v>
      </c>
      <c r="C67" s="12">
        <f>IF(C102=0,0,Assumptions!$C$60+C103+Assumptions!$C$62)*Assumptions!$C$54</f>
        <v>0</v>
      </c>
      <c r="D67" s="12">
        <f>IF(D102=0,0,Assumptions!$C$60+D103+Assumptions!$C$62)*Assumptions!$C$54</f>
        <v>0</v>
      </c>
      <c r="E67" s="12">
        <f>IF(E102=0,0,Assumptions!$C$60+E103+Assumptions!$C$62)*Assumptions!$C$54</f>
        <v>0</v>
      </c>
      <c r="F67" s="12">
        <f>IF(F102=0,0,Assumptions!$C$60+F103+Assumptions!$C$62)*Assumptions!$C$54</f>
        <v>0</v>
      </c>
      <c r="G67" s="12">
        <f>IF(G102=0,0,Assumptions!$C$60+G103+Assumptions!$C$62)*Assumptions!$C$54</f>
        <v>0</v>
      </c>
      <c r="H67" s="12">
        <f>IF(H102=0,0,Assumptions!$C$60+H103+Assumptions!$C$62)*Assumptions!$C$54</f>
        <v>0</v>
      </c>
      <c r="I67" s="12">
        <f>IF(I102=0,0,Assumptions!$C$60+I103+Assumptions!$C$62)*Assumptions!$C$54</f>
        <v>0</v>
      </c>
      <c r="J67" s="12">
        <f>IF(J102=0,0,Assumptions!$C$60+J103+Assumptions!$C$62)*Assumptions!$C$54</f>
        <v>0</v>
      </c>
      <c r="K67" s="12">
        <f>IF(K102=0,0,Assumptions!$C$60+K103+Assumptions!$C$62)*Assumptions!$C$54</f>
        <v>0</v>
      </c>
      <c r="L67" s="12">
        <f>IF(L102=0,0,Assumptions!$C$60+L103+Assumptions!$C$62)*Assumptions!$C$54</f>
        <v>0</v>
      </c>
      <c r="M67" s="12">
        <f>IF(M102=0,0,Assumptions!$C$60+M103+Assumptions!$C$62)*Assumptions!$C$54</f>
        <v>0</v>
      </c>
      <c r="N67" s="12">
        <f>IF(N102=0,0,Assumptions!$C$60+N103+Assumptions!$C$62)*Assumptions!$C$54</f>
        <v>0</v>
      </c>
      <c r="O67" s="12">
        <f>IF(O102=0,0,Assumptions!$C$60+O103+Assumptions!$C$62)*Assumptions!$C$54</f>
        <v>0</v>
      </c>
      <c r="P67" s="12">
        <f>IF(P102=0,0,Assumptions!$C$60+P103+Assumptions!$C$62)*Assumptions!$C$54</f>
        <v>0</v>
      </c>
      <c r="Q67" s="12">
        <f>IF(Q102=0,0,Assumptions!$C$60+Q103+Assumptions!$C$62)*Assumptions!$C$54</f>
        <v>0</v>
      </c>
      <c r="R67" s="12">
        <f>IF(R102=0,0,Assumptions!$C$60+R103+Assumptions!$C$62)*Assumptions!$C$54</f>
        <v>0</v>
      </c>
      <c r="S67" s="12">
        <f>IF(S102=0,0,Assumptions!$C$60+S103+Assumptions!$C$62)*Assumptions!$C$54</f>
        <v>0</v>
      </c>
      <c r="T67" s="12">
        <f>IF(T102=0,0,Assumptions!$C$60+T103+Assumptions!$C$62)*Assumptions!$C$54</f>
        <v>0</v>
      </c>
      <c r="U67" s="12">
        <f>IF(U102=0,0,Assumptions!$C$60+U103+Assumptions!$C$62)*Assumptions!$C$54</f>
        <v>0</v>
      </c>
      <c r="V67" s="12">
        <f>IF(V102=0,0,Assumptions!$C$60+V103+Assumptions!$C$62)*Assumptions!$C$54</f>
        <v>0</v>
      </c>
      <c r="W67" s="12">
        <f>IF(W102=0,0,Assumptions!$C$60+W103+Assumptions!$C$62)*Assumptions!$C$54</f>
        <v>0</v>
      </c>
      <c r="X67" s="12">
        <f>IF(X102=0,0,Assumptions!$C$60+X103+Assumptions!$C$62)*Assumptions!$C$54</f>
        <v>0</v>
      </c>
      <c r="Y67" s="12">
        <f>IF(Y102=0,0,Assumptions!$C$60+Y103+Assumptions!$C$62)*Assumptions!$C$54</f>
        <v>0</v>
      </c>
      <c r="Z67" s="12">
        <f>IF(Z102=0,0,Assumptions!$C$60+Z103+Assumptions!$C$62)*Assumptions!$C$54</f>
        <v>0</v>
      </c>
    </row>
    <row r="68" spans="1:26" ht="16.5" customHeight="1">
      <c r="A68" s="1" t="s">
        <v>331</v>
      </c>
      <c r="B68" s="1" t="s">
        <v>75</v>
      </c>
      <c r="C68" s="12">
        <f>C50*Assumptions!$C$63</f>
        <v>2063.9700000000003</v>
      </c>
      <c r="D68" s="12">
        <f>D50*Assumptions!$C$63</f>
        <v>7095.7038872700005</v>
      </c>
      <c r="E68" s="12">
        <f>E50*Assumptions!$C$63</f>
        <v>8967.8481934906831</v>
      </c>
      <c r="F68" s="12">
        <f>F50*Assumptions!$C$63</f>
        <v>10786.715836524723</v>
      </c>
      <c r="G68" s="12">
        <f>G50*Assumptions!$C$63</f>
        <v>12605.134457799642</v>
      </c>
      <c r="H68" s="12">
        <f>H50*Assumptions!$C$63</f>
        <v>14432.61270905359</v>
      </c>
      <c r="I68" s="12">
        <f>I50*Assumptions!$C$63</f>
        <v>16274.842695054942</v>
      </c>
      <c r="J68" s="12">
        <f>J50*Assumptions!$C$63</f>
        <v>18137.465821921247</v>
      </c>
      <c r="K68" s="12">
        <f>K50*Assumptions!$C$63</f>
        <v>20026.091721635599</v>
      </c>
      <c r="L68" s="12">
        <f>L50*Assumptions!$C$63</f>
        <v>21946.316749384099</v>
      </c>
      <c r="M68" s="12">
        <f>M50*Assumptions!$C$63</f>
        <v>23903.742120253351</v>
      </c>
      <c r="N68" s="12">
        <f>N50*Assumptions!$C$63</f>
        <v>25903.991749528468</v>
      </c>
      <c r="O68" s="12">
        <f>O50*Assumptions!$C$63</f>
        <v>27952.729858778541</v>
      </c>
      <c r="P68" s="12">
        <f>P50*Assumptions!$C$63</f>
        <v>30055.678408097603</v>
      </c>
      <c r="Q68" s="12">
        <f>Q50*Assumptions!$C$63</f>
        <v>32218.634413274285</v>
      </c>
      <c r="R68" s="12">
        <f>R50*Assumptions!$C$63</f>
        <v>34447.487205284422</v>
      </c>
      <c r="S68" s="12">
        <f>S50*Assumptions!$C$63</f>
        <v>36748.235688328881</v>
      </c>
      <c r="T68" s="12">
        <f>T50*Assumptions!$C$63</f>
        <v>39127.005651667627</v>
      </c>
      <c r="U68" s="12">
        <f>U50*Assumptions!$C$63</f>
        <v>41590.067189722286</v>
      </c>
      <c r="V68" s="12">
        <f>V50*Assumptions!$C$63</f>
        <v>44143.852284329529</v>
      </c>
      <c r="W68" s="12">
        <f>W50*Assumptions!$C$63</f>
        <v>46794.972602619368</v>
      </c>
      <c r="X68" s="12">
        <f>X50*Assumptions!$C$63</f>
        <v>49550.237563763003</v>
      </c>
      <c r="Y68" s="12">
        <f>Y50*Assumptions!$C$63</f>
        <v>52416.672727779012</v>
      </c>
      <c r="Z68" s="12">
        <f>Z50*Assumptions!$C$63</f>
        <v>55401.538559702843</v>
      </c>
    </row>
    <row r="69" spans="1:26" ht="16.5" customHeight="1">
      <c r="A69" s="11" t="s">
        <v>332</v>
      </c>
      <c r="B69" s="1" t="s">
        <v>75</v>
      </c>
      <c r="C69" s="12">
        <f>Assumptions!$C$64+Assumptions!$C$65</f>
        <v>0</v>
      </c>
      <c r="D69" s="12">
        <f t="shared" ref="D69:N69" si="17">0+0</f>
        <v>0</v>
      </c>
      <c r="E69" s="12">
        <f t="shared" si="17"/>
        <v>0</v>
      </c>
      <c r="F69" s="12">
        <f t="shared" si="17"/>
        <v>0</v>
      </c>
      <c r="G69" s="12">
        <f t="shared" si="17"/>
        <v>0</v>
      </c>
      <c r="H69" s="12">
        <f t="shared" si="17"/>
        <v>0</v>
      </c>
      <c r="I69" s="12">
        <f t="shared" si="17"/>
        <v>0</v>
      </c>
      <c r="J69" s="12">
        <f t="shared" si="17"/>
        <v>0</v>
      </c>
      <c r="K69" s="12">
        <f t="shared" si="17"/>
        <v>0</v>
      </c>
      <c r="L69" s="12">
        <f t="shared" si="17"/>
        <v>0</v>
      </c>
      <c r="M69" s="12">
        <f t="shared" si="17"/>
        <v>0</v>
      </c>
      <c r="N69" s="12">
        <f t="shared" si="17"/>
        <v>0</v>
      </c>
      <c r="O69" s="12">
        <f>0+Assumptions!$C$65</f>
        <v>0</v>
      </c>
      <c r="P69" s="12">
        <f t="shared" ref="P69:Z69" si="18">0+0</f>
        <v>0</v>
      </c>
      <c r="Q69" s="12">
        <f t="shared" si="18"/>
        <v>0</v>
      </c>
      <c r="R69" s="12">
        <f t="shared" si="18"/>
        <v>0</v>
      </c>
      <c r="S69" s="12">
        <f t="shared" si="18"/>
        <v>0</v>
      </c>
      <c r="T69" s="12">
        <f t="shared" si="18"/>
        <v>0</v>
      </c>
      <c r="U69" s="12">
        <f t="shared" si="18"/>
        <v>0</v>
      </c>
      <c r="V69" s="12">
        <f t="shared" si="18"/>
        <v>0</v>
      </c>
      <c r="W69" s="12">
        <f t="shared" si="18"/>
        <v>0</v>
      </c>
      <c r="X69" s="12">
        <f t="shared" si="18"/>
        <v>0</v>
      </c>
      <c r="Y69" s="12">
        <f t="shared" si="18"/>
        <v>0</v>
      </c>
      <c r="Z69" s="12">
        <f t="shared" si="18"/>
        <v>0</v>
      </c>
    </row>
    <row r="70" spans="1:26" ht="16.5" customHeight="1">
      <c r="A70" s="1" t="s">
        <v>333</v>
      </c>
      <c r="B70" s="1" t="s">
        <v>75</v>
      </c>
      <c r="C70" s="12">
        <f>SUM(C34,C40,C41,C42)*Assumptions!$C$66</f>
        <v>3626.0000000000005</v>
      </c>
      <c r="D70" s="12">
        <f>SUM(D34,D40,D41,D42)*Assumptions!$C$66</f>
        <v>5066.8040000000001</v>
      </c>
      <c r="E70" s="12">
        <f>SUM(E34,E40,E41,E42)*Assumptions!$C$66</f>
        <v>6018.84476</v>
      </c>
      <c r="F70" s="12">
        <f>SUM(F34,F40,F41,F42)*Assumptions!$C$66</f>
        <v>6861.2297369600001</v>
      </c>
      <c r="G70" s="12">
        <f>SUM(G34,G40,G41,G42)*Assumptions!$C$66</f>
        <v>7633.9910329145596</v>
      </c>
      <c r="H70" s="12">
        <f>SUM(H34,H40,H41,H42)*Assumptions!$C$66</f>
        <v>8363.9261896920289</v>
      </c>
      <c r="I70" s="12">
        <f>SUM(I34,I40,I41,I42)*Assumptions!$C$66</f>
        <v>9070.2966342455402</v>
      </c>
      <c r="J70" s="12">
        <f>SUM(J34,J40,J41,J42)*Assumptions!$C$66</f>
        <v>9767.1003824482359</v>
      </c>
      <c r="K70" s="12">
        <f>SUM(K34,K40,K41,K42)*Assumptions!$C$66</f>
        <v>10464.664375651822</v>
      </c>
      <c r="L70" s="12">
        <f>SUM(L34,L40,L41,L42)*Assumptions!$C$66</f>
        <v>11170.760577946694</v>
      </c>
      <c r="M70" s="12">
        <f>SUM(M34,M40,M41,M42)*Assumptions!$C$66</f>
        <v>11891.388728052136</v>
      </c>
      <c r="N70" s="12">
        <f>SUM(N34,N40,N41,N42)*Assumptions!$C$66</f>
        <v>12631.325775953957</v>
      </c>
      <c r="O70" s="12">
        <f>SUM(O34,O40,O41,O42)*Assumptions!$C$66</f>
        <v>13394.512029748819</v>
      </c>
      <c r="P70" s="12">
        <f>SUM(P34,P40,P41,P42)*Assumptions!$C$66</f>
        <v>14184.323034917335</v>
      </c>
      <c r="Q70" s="12">
        <f>SUM(Q34,Q40,Q41,Q42)*Assumptions!$C$66</f>
        <v>15003.761506019298</v>
      </c>
      <c r="R70" s="12">
        <f>SUM(R34,R40,R41,R42)*Assumptions!$C$66</f>
        <v>15855.593339295001</v>
      </c>
      <c r="S70" s="12">
        <f>SUM(S34,S40,S41,S42)*Assumptions!$C$66</f>
        <v>16742.444530664299</v>
      </c>
      <c r="T70" s="12">
        <f>SUM(T34,T40,T41,T42)*Assumptions!$C$66</f>
        <v>17666.870780898313</v>
      </c>
      <c r="U70" s="12">
        <f>SUM(U34,U40,U41,U42)*Assumptions!$C$66</f>
        <v>18631.408039927876</v>
      </c>
      <c r="V70" s="12">
        <f>SUM(V34,V40,V41,V42)*Assumptions!$C$66</f>
        <v>19638.609771490384</v>
      </c>
      <c r="W70" s="12">
        <f>SUM(W34,W40,W41,W42)*Assumptions!$C$66</f>
        <v>20691.074989901132</v>
      </c>
      <c r="X70" s="12">
        <f>SUM(X34,X40,X41,X42)*Assumptions!$C$66</f>
        <v>21791.469910276533</v>
      </c>
      <c r="Y70" s="12">
        <f>SUM(Y34,Y40,Y41,Y42)*Assumptions!$C$66</f>
        <v>22942.545206361912</v>
      </c>
      <c r="Z70" s="12">
        <f>SUM(Z34,Z40,Z41,Z42)*Assumptions!$C$66</f>
        <v>24147.150277254263</v>
      </c>
    </row>
    <row r="71" spans="1:26" ht="16.5" customHeight="1">
      <c r="A71" s="1" t="s">
        <v>334</v>
      </c>
      <c r="B71" s="1" t="s">
        <v>75</v>
      </c>
      <c r="C71" s="12">
        <f>Assumptions!$C$67</f>
        <v>0</v>
      </c>
      <c r="D71" s="12">
        <f>Assumptions!$C$67</f>
        <v>0</v>
      </c>
      <c r="E71" s="12">
        <f>Assumptions!$C$67</f>
        <v>0</v>
      </c>
      <c r="F71" s="12">
        <f>Assumptions!$C$67</f>
        <v>0</v>
      </c>
      <c r="G71" s="12">
        <f>Assumptions!$C$67</f>
        <v>0</v>
      </c>
      <c r="H71" s="12">
        <f>Assumptions!$C$67</f>
        <v>0</v>
      </c>
      <c r="I71" s="12">
        <f>Assumptions!$C$67</f>
        <v>0</v>
      </c>
      <c r="J71" s="12">
        <f>Assumptions!$C$67</f>
        <v>0</v>
      </c>
      <c r="K71" s="12">
        <f>Assumptions!$C$67</f>
        <v>0</v>
      </c>
      <c r="L71" s="12">
        <f>Assumptions!$C$67</f>
        <v>0</v>
      </c>
      <c r="M71" s="12">
        <f>Assumptions!$C$67</f>
        <v>0</v>
      </c>
      <c r="N71" s="12">
        <f>Assumptions!$C$67</f>
        <v>0</v>
      </c>
      <c r="O71" s="12">
        <f>Assumptions!$C$67</f>
        <v>0</v>
      </c>
      <c r="P71" s="12">
        <f>Assumptions!$C$67</f>
        <v>0</v>
      </c>
      <c r="Q71" s="12">
        <f>Assumptions!$C$67</f>
        <v>0</v>
      </c>
      <c r="R71" s="12">
        <f>Assumptions!$C$67</f>
        <v>0</v>
      </c>
      <c r="S71" s="12">
        <f>Assumptions!$C$67</f>
        <v>0</v>
      </c>
      <c r="T71" s="12">
        <f>Assumptions!$C$67</f>
        <v>0</v>
      </c>
      <c r="U71" s="12">
        <f>Assumptions!$C$67</f>
        <v>0</v>
      </c>
      <c r="V71" s="12">
        <f>Assumptions!$C$67</f>
        <v>0</v>
      </c>
      <c r="W71" s="12">
        <f>Assumptions!$C$67</f>
        <v>0</v>
      </c>
      <c r="X71" s="12">
        <f>Assumptions!$C$67</f>
        <v>0</v>
      </c>
      <c r="Y71" s="12">
        <f>Assumptions!$C$67</f>
        <v>0</v>
      </c>
      <c r="Z71" s="12">
        <f>Assumptions!$C$67</f>
        <v>0</v>
      </c>
    </row>
    <row r="72" spans="1:26" ht="16.5" customHeight="1">
      <c r="A72" s="1" t="s">
        <v>335</v>
      </c>
      <c r="B72" s="1" t="s">
        <v>75</v>
      </c>
      <c r="C72" s="12">
        <f>Assumptions!$C$68</f>
        <v>0</v>
      </c>
      <c r="D72" s="12">
        <f>Assumptions!$C$68</f>
        <v>0</v>
      </c>
      <c r="E72" s="12">
        <f>Assumptions!$C$68</f>
        <v>0</v>
      </c>
      <c r="F72" s="12">
        <f>Assumptions!$C$68</f>
        <v>0</v>
      </c>
      <c r="G72" s="12">
        <f>Assumptions!$C$68</f>
        <v>0</v>
      </c>
      <c r="H72" s="12">
        <f>Assumptions!$C$68</f>
        <v>0</v>
      </c>
      <c r="I72" s="12">
        <f>Assumptions!$C$68</f>
        <v>0</v>
      </c>
      <c r="J72" s="12">
        <f>Assumptions!$C$68</f>
        <v>0</v>
      </c>
      <c r="K72" s="12">
        <f>Assumptions!$C$68</f>
        <v>0</v>
      </c>
      <c r="L72" s="12">
        <f>Assumptions!$C$68</f>
        <v>0</v>
      </c>
      <c r="M72" s="12">
        <f>Assumptions!$C$68</f>
        <v>0</v>
      </c>
      <c r="N72" s="12">
        <f>Assumptions!$C$68</f>
        <v>0</v>
      </c>
      <c r="O72" s="12">
        <f>Assumptions!$C$68</f>
        <v>0</v>
      </c>
      <c r="P72" s="12">
        <f>Assumptions!$C$68</f>
        <v>0</v>
      </c>
      <c r="Q72" s="12">
        <f>Assumptions!$C$68</f>
        <v>0</v>
      </c>
      <c r="R72" s="12">
        <f>Assumptions!$C$68</f>
        <v>0</v>
      </c>
      <c r="S72" s="12">
        <f>Assumptions!$C$68</f>
        <v>0</v>
      </c>
      <c r="T72" s="12">
        <f>Assumptions!$C$68</f>
        <v>0</v>
      </c>
      <c r="U72" s="12">
        <f>Assumptions!$C$68</f>
        <v>0</v>
      </c>
      <c r="V72" s="12">
        <f>Assumptions!$C$68</f>
        <v>0</v>
      </c>
      <c r="W72" s="12">
        <f>Assumptions!$C$68</f>
        <v>0</v>
      </c>
      <c r="X72" s="12">
        <f>Assumptions!$C$68</f>
        <v>0</v>
      </c>
      <c r="Y72" s="12">
        <f>Assumptions!$C$68</f>
        <v>0</v>
      </c>
      <c r="Z72" s="12">
        <f>Assumptions!$C$68</f>
        <v>0</v>
      </c>
    </row>
    <row r="73" spans="1:26" ht="16.5" customHeight="1">
      <c r="A73" s="1" t="s">
        <v>336</v>
      </c>
      <c r="B73" s="1" t="s">
        <v>75</v>
      </c>
      <c r="C73" s="12">
        <f>Assumptions!$C$69</f>
        <v>200000</v>
      </c>
      <c r="D73" s="12">
        <f>Assumptions!$C$69</f>
        <v>200000</v>
      </c>
      <c r="E73" s="12">
        <f>Assumptions!$C$69</f>
        <v>200000</v>
      </c>
      <c r="F73" s="12">
        <f>Assumptions!$C$69</f>
        <v>200000</v>
      </c>
      <c r="G73" s="12">
        <f>Assumptions!$C$69</f>
        <v>200000</v>
      </c>
      <c r="H73" s="12">
        <f>Assumptions!$C$69</f>
        <v>200000</v>
      </c>
      <c r="I73" s="12">
        <f>Assumptions!$C$69</f>
        <v>200000</v>
      </c>
      <c r="J73" s="12">
        <f>Assumptions!$C$69</f>
        <v>200000</v>
      </c>
      <c r="K73" s="12">
        <f>Assumptions!$C$69</f>
        <v>200000</v>
      </c>
      <c r="L73" s="12">
        <f>Assumptions!$C$69</f>
        <v>200000</v>
      </c>
      <c r="M73" s="12">
        <f>Assumptions!$C$69</f>
        <v>200000</v>
      </c>
      <c r="N73" s="12">
        <f>Assumptions!$C$69</f>
        <v>200000</v>
      </c>
      <c r="O73" s="12">
        <f>Assumptions!$C$69</f>
        <v>200000</v>
      </c>
      <c r="P73" s="12">
        <f>Assumptions!$C$69</f>
        <v>200000</v>
      </c>
      <c r="Q73" s="12">
        <f>Assumptions!$C$69</f>
        <v>200000</v>
      </c>
      <c r="R73" s="12">
        <f>Assumptions!$C$69</f>
        <v>200000</v>
      </c>
      <c r="S73" s="12">
        <f>Assumptions!$C$69</f>
        <v>200000</v>
      </c>
      <c r="T73" s="12">
        <f>Assumptions!$C$69</f>
        <v>200000</v>
      </c>
      <c r="U73" s="12">
        <f>Assumptions!$C$69</f>
        <v>200000</v>
      </c>
      <c r="V73" s="12">
        <f>Assumptions!$C$69</f>
        <v>200000</v>
      </c>
      <c r="W73" s="12">
        <f>Assumptions!$C$69</f>
        <v>200000</v>
      </c>
      <c r="X73" s="12">
        <f>Assumptions!$C$69</f>
        <v>200000</v>
      </c>
      <c r="Y73" s="12">
        <f>Assumptions!$C$69</f>
        <v>200000</v>
      </c>
      <c r="Z73" s="12">
        <f>Assumptions!$C$69</f>
        <v>200000</v>
      </c>
    </row>
    <row r="74" spans="1:26" ht="16.5" customHeight="1">
      <c r="A74" s="10" t="s">
        <v>337</v>
      </c>
      <c r="B74" s="10" t="s">
        <v>75</v>
      </c>
      <c r="C74" s="31">
        <f t="shared" ref="C74:Z74" si="19">SUM(C63:C73)</f>
        <v>237720.66495248</v>
      </c>
      <c r="D74" s="31">
        <f t="shared" si="19"/>
        <v>243534.35837458831</v>
      </c>
      <c r="E74" s="31">
        <f t="shared" si="19"/>
        <v>247212.83628392601</v>
      </c>
      <c r="F74" s="31">
        <f t="shared" si="19"/>
        <v>250729.11666017468</v>
      </c>
      <c r="G74" s="31">
        <f t="shared" si="19"/>
        <v>254176.87760372862</v>
      </c>
      <c r="H74" s="31">
        <f t="shared" si="19"/>
        <v>257595.13965119337</v>
      </c>
      <c r="I74" s="31">
        <f t="shared" si="19"/>
        <v>261011.53764699114</v>
      </c>
      <c r="J74" s="31">
        <f t="shared" si="19"/>
        <v>264448.36844379752</v>
      </c>
      <c r="K74" s="31">
        <f t="shared" si="19"/>
        <v>267924.2110781651</v>
      </c>
      <c r="L74" s="31">
        <f t="shared" si="19"/>
        <v>271455.07007844397</v>
      </c>
      <c r="M74" s="31">
        <f t="shared" si="19"/>
        <v>275055.18489680963</v>
      </c>
      <c r="N74" s="31">
        <f t="shared" si="19"/>
        <v>278737.60559001769</v>
      </c>
      <c r="O74" s="31">
        <f t="shared" si="19"/>
        <v>282514.60486582451</v>
      </c>
      <c r="P74" s="31">
        <f t="shared" si="19"/>
        <v>286397.97560610186</v>
      </c>
      <c r="Q74" s="31">
        <f t="shared" si="19"/>
        <v>290399.24827309651</v>
      </c>
      <c r="R74" s="31">
        <f t="shared" si="19"/>
        <v>294529.85231175023</v>
      </c>
      <c r="S74" s="31">
        <f t="shared" si="19"/>
        <v>298801.23845527688</v>
      </c>
      <c r="T74" s="31">
        <f t="shared" si="19"/>
        <v>303224.9737970499</v>
      </c>
      <c r="U74" s="31">
        <f t="shared" si="19"/>
        <v>307812.81796089571</v>
      </c>
      <c r="V74" s="31">
        <f t="shared" si="19"/>
        <v>312576.7862302587</v>
      </c>
      <c r="W74" s="31">
        <f t="shared" si="19"/>
        <v>317529.20376668783</v>
      </c>
      <c r="X74" s="31">
        <f t="shared" si="19"/>
        <v>322682.75383729738</v>
      </c>
      <c r="Y74" s="31">
        <f t="shared" si="19"/>
        <v>328050.52212359942</v>
      </c>
      <c r="Z74" s="31">
        <f t="shared" si="19"/>
        <v>333646.03859141178</v>
      </c>
    </row>
    <row r="75" spans="1:26" ht="16.5" customHeight="1">
      <c r="A75" s="10" t="s">
        <v>338</v>
      </c>
      <c r="B75" s="10" t="s">
        <v>75</v>
      </c>
      <c r="C75" s="31">
        <f t="shared" ref="C75:Z75" si="20">C52-C74</f>
        <v>-182534.30131611635</v>
      </c>
      <c r="D75" s="31">
        <f t="shared" si="20"/>
        <v>-53809.655506406503</v>
      </c>
      <c r="E75" s="31">
        <f t="shared" si="20"/>
        <v>-7430.7990248168644</v>
      </c>
      <c r="F75" s="31">
        <f t="shared" si="20"/>
        <v>37685.745278989023</v>
      </c>
      <c r="G75" s="31">
        <f t="shared" si="20"/>
        <v>82858.803086101369</v>
      </c>
      <c r="H75" s="31">
        <f t="shared" si="20"/>
        <v>128303.59588499882</v>
      </c>
      <c r="I75" s="31">
        <f t="shared" si="20"/>
        <v>174144.68414592172</v>
      </c>
      <c r="J75" s="31">
        <f t="shared" si="20"/>
        <v>220510.61075195775</v>
      </c>
      <c r="K75" s="31">
        <f t="shared" si="20"/>
        <v>267532.78682653001</v>
      </c>
      <c r="L75" s="31">
        <f t="shared" si="20"/>
        <v>315344.84300669236</v>
      </c>
      <c r="M75" s="31">
        <f t="shared" si="20"/>
        <v>364082.30494953657</v>
      </c>
      <c r="N75" s="31">
        <f t="shared" si="20"/>
        <v>413882.49466475419</v>
      </c>
      <c r="O75" s="31">
        <f t="shared" si="20"/>
        <v>464884.58921916311</v>
      </c>
      <c r="P75" s="31">
        <f t="shared" si="20"/>
        <v>517229.78931629396</v>
      </c>
      <c r="Q75" s="31">
        <f t="shared" si="20"/>
        <v>571061.56491605542</v>
      </c>
      <c r="R75" s="31">
        <f t="shared" si="20"/>
        <v>626525.95531617547</v>
      </c>
      <c r="S75" s="31">
        <f t="shared" si="20"/>
        <v>683771.90829148446</v>
      </c>
      <c r="T75" s="31">
        <f t="shared" si="20"/>
        <v>742951.64790529292</v>
      </c>
      <c r="U75" s="31">
        <f t="shared" si="20"/>
        <v>804221.06411724037</v>
      </c>
      <c r="V75" s="31">
        <f t="shared" si="20"/>
        <v>867740.11976785702</v>
      </c>
      <c r="W75" s="31">
        <f t="shared" si="20"/>
        <v>933673.27223917749</v>
      </c>
      <c r="X75" s="31">
        <f t="shared" si="20"/>
        <v>1002189.908295403</v>
      </c>
      <c r="Y75" s="31">
        <f t="shared" si="20"/>
        <v>1073464.7914533794</v>
      </c>
      <c r="Z75" s="31">
        <f t="shared" si="20"/>
        <v>1147678.5218284503</v>
      </c>
    </row>
    <row r="76" spans="1:26" ht="16.5" customHeight="1">
      <c r="A76" s="1" t="s">
        <v>339</v>
      </c>
      <c r="B76" s="1" t="s">
        <v>75</v>
      </c>
      <c r="C76" s="12">
        <f>0</f>
        <v>0</v>
      </c>
      <c r="D76" s="12">
        <f t="shared" ref="D76:Z76" si="21">C79</f>
        <v>182534.30131611635</v>
      </c>
      <c r="E76" s="12">
        <f t="shared" si="21"/>
        <v>236343.95682252286</v>
      </c>
      <c r="F76" s="12">
        <f t="shared" si="21"/>
        <v>243774.75584733972</v>
      </c>
      <c r="G76" s="12">
        <f t="shared" si="21"/>
        <v>206089.0105683507</v>
      </c>
      <c r="H76" s="12">
        <f t="shared" si="21"/>
        <v>123230.20748224933</v>
      </c>
      <c r="I76" s="12">
        <f t="shared" si="21"/>
        <v>0</v>
      </c>
      <c r="J76" s="12">
        <f t="shared" si="21"/>
        <v>0</v>
      </c>
      <c r="K76" s="12">
        <f t="shared" si="21"/>
        <v>0</v>
      </c>
      <c r="L76" s="12">
        <f t="shared" si="21"/>
        <v>0</v>
      </c>
      <c r="M76" s="12">
        <f t="shared" si="21"/>
        <v>0</v>
      </c>
      <c r="N76" s="12">
        <f t="shared" si="21"/>
        <v>0</v>
      </c>
      <c r="O76" s="12">
        <f t="shared" si="21"/>
        <v>0</v>
      </c>
      <c r="P76" s="12">
        <f t="shared" si="21"/>
        <v>0</v>
      </c>
      <c r="Q76" s="12">
        <f t="shared" si="21"/>
        <v>0</v>
      </c>
      <c r="R76" s="12">
        <f t="shared" si="21"/>
        <v>0</v>
      </c>
      <c r="S76" s="12">
        <f t="shared" si="21"/>
        <v>0</v>
      </c>
      <c r="T76" s="12">
        <f t="shared" si="21"/>
        <v>0</v>
      </c>
      <c r="U76" s="12">
        <f t="shared" si="21"/>
        <v>0</v>
      </c>
      <c r="V76" s="12">
        <f t="shared" si="21"/>
        <v>0</v>
      </c>
      <c r="W76" s="12">
        <f t="shared" si="21"/>
        <v>0</v>
      </c>
      <c r="X76" s="12">
        <f t="shared" si="21"/>
        <v>0</v>
      </c>
      <c r="Y76" s="12">
        <f t="shared" si="21"/>
        <v>0</v>
      </c>
      <c r="Z76" s="12">
        <f t="shared" si="21"/>
        <v>0</v>
      </c>
    </row>
    <row r="77" spans="1:26" ht="16.5" customHeight="1">
      <c r="A77" s="1" t="s">
        <v>340</v>
      </c>
      <c r="B77" s="1" t="s">
        <v>75</v>
      </c>
      <c r="C77" s="12">
        <f t="shared" ref="C77:Z77" si="22">MAX(0,C75-C76)</f>
        <v>0</v>
      </c>
      <c r="D77" s="12">
        <f t="shared" si="22"/>
        <v>0</v>
      </c>
      <c r="E77" s="12">
        <f t="shared" si="22"/>
        <v>0</v>
      </c>
      <c r="F77" s="12">
        <f t="shared" si="22"/>
        <v>0</v>
      </c>
      <c r="G77" s="12">
        <f t="shared" si="22"/>
        <v>0</v>
      </c>
      <c r="H77" s="12">
        <f t="shared" si="22"/>
        <v>5073.3884027494933</v>
      </c>
      <c r="I77" s="12">
        <f t="shared" si="22"/>
        <v>174144.68414592172</v>
      </c>
      <c r="J77" s="12">
        <f t="shared" si="22"/>
        <v>220510.61075195775</v>
      </c>
      <c r="K77" s="12">
        <f t="shared" si="22"/>
        <v>267532.78682653001</v>
      </c>
      <c r="L77" s="12">
        <f t="shared" si="22"/>
        <v>315344.84300669236</v>
      </c>
      <c r="M77" s="12">
        <f t="shared" si="22"/>
        <v>364082.30494953657</v>
      </c>
      <c r="N77" s="12">
        <f t="shared" si="22"/>
        <v>413882.49466475419</v>
      </c>
      <c r="O77" s="12">
        <f t="shared" si="22"/>
        <v>464884.58921916311</v>
      </c>
      <c r="P77" s="12">
        <f t="shared" si="22"/>
        <v>517229.78931629396</v>
      </c>
      <c r="Q77" s="12">
        <f t="shared" si="22"/>
        <v>571061.56491605542</v>
      </c>
      <c r="R77" s="12">
        <f t="shared" si="22"/>
        <v>626525.95531617547</v>
      </c>
      <c r="S77" s="12">
        <f t="shared" si="22"/>
        <v>683771.90829148446</v>
      </c>
      <c r="T77" s="12">
        <f t="shared" si="22"/>
        <v>742951.64790529292</v>
      </c>
      <c r="U77" s="12">
        <f t="shared" si="22"/>
        <v>804221.06411724037</v>
      </c>
      <c r="V77" s="12">
        <f t="shared" si="22"/>
        <v>867740.11976785702</v>
      </c>
      <c r="W77" s="12">
        <f t="shared" si="22"/>
        <v>933673.27223917749</v>
      </c>
      <c r="X77" s="12">
        <f t="shared" si="22"/>
        <v>1002189.908295403</v>
      </c>
      <c r="Y77" s="12">
        <f t="shared" si="22"/>
        <v>1073464.7914533794</v>
      </c>
      <c r="Z77" s="12">
        <f t="shared" si="22"/>
        <v>1147678.5218284503</v>
      </c>
    </row>
    <row r="78" spans="1:26" ht="16.5" customHeight="1">
      <c r="A78" s="1" t="s">
        <v>341</v>
      </c>
      <c r="B78" s="1" t="s">
        <v>75</v>
      </c>
      <c r="C78" s="12">
        <f>C77*Assumptions!$C$71</f>
        <v>0</v>
      </c>
      <c r="D78" s="12">
        <f>D77*Assumptions!$C$71</f>
        <v>0</v>
      </c>
      <c r="E78" s="12">
        <f>E77*Assumptions!$C$71</f>
        <v>0</v>
      </c>
      <c r="F78" s="12">
        <f>F77*Assumptions!$C$71</f>
        <v>0</v>
      </c>
      <c r="G78" s="12">
        <f>G77*Assumptions!$C$71</f>
        <v>0</v>
      </c>
      <c r="H78" s="12">
        <f>H77*Assumptions!$C$71</f>
        <v>507.33884027494935</v>
      </c>
      <c r="I78" s="12">
        <f>I77*Assumptions!$C$71</f>
        <v>17414.468414592175</v>
      </c>
      <c r="J78" s="12">
        <f>J77*Assumptions!$C$71</f>
        <v>22051.061075195776</v>
      </c>
      <c r="K78" s="12">
        <f>K77*Assumptions!$C$71</f>
        <v>26753.278682653003</v>
      </c>
      <c r="L78" s="12">
        <f>L77*Assumptions!$C$71</f>
        <v>31534.484300669239</v>
      </c>
      <c r="M78" s="12">
        <f>M77*Assumptions!$C$71</f>
        <v>36408.230494953656</v>
      </c>
      <c r="N78" s="12">
        <f>N77*Assumptions!$C$71</f>
        <v>41388.249466475419</v>
      </c>
      <c r="O78" s="12">
        <f>O77*Assumptions!$C$71</f>
        <v>46488.458921916317</v>
      </c>
      <c r="P78" s="12">
        <f>P77*Assumptions!$C$71</f>
        <v>51722.978931629397</v>
      </c>
      <c r="Q78" s="12">
        <f>Q77*Assumptions!$C$71</f>
        <v>57106.156491605543</v>
      </c>
      <c r="R78" s="12">
        <f>R77*Assumptions!$C$71</f>
        <v>62652.595531617553</v>
      </c>
      <c r="S78" s="12">
        <f>S77*Assumptions!$C$71</f>
        <v>68377.190829148443</v>
      </c>
      <c r="T78" s="12">
        <f>T77*Assumptions!$C$71</f>
        <v>74295.164790529292</v>
      </c>
      <c r="U78" s="12">
        <f>U77*Assumptions!$C$71</f>
        <v>80422.106411724046</v>
      </c>
      <c r="V78" s="12">
        <f>V77*Assumptions!$C$71</f>
        <v>86774.01197678571</v>
      </c>
      <c r="W78" s="12">
        <f>W77*Assumptions!$C$71</f>
        <v>93367.32722391776</v>
      </c>
      <c r="X78" s="12">
        <f>X77*Assumptions!$C$71</f>
        <v>100218.9908295403</v>
      </c>
      <c r="Y78" s="12">
        <f>Y77*Assumptions!$C$71</f>
        <v>107346.47914533794</v>
      </c>
      <c r="Z78" s="12">
        <f>Z77*Assumptions!$C$71</f>
        <v>114767.85218284503</v>
      </c>
    </row>
    <row r="79" spans="1:26" ht="16.5" customHeight="1">
      <c r="A79" s="1" t="s">
        <v>342</v>
      </c>
      <c r="B79" s="1" t="s">
        <v>75</v>
      </c>
      <c r="C79" s="12">
        <f t="shared" ref="C79:Z79" si="23">MAX(0,C76-MAX(0,C75))+MAX(0,-C75)</f>
        <v>182534.30131611635</v>
      </c>
      <c r="D79" s="12">
        <f t="shared" si="23"/>
        <v>236343.95682252286</v>
      </c>
      <c r="E79" s="12">
        <f t="shared" si="23"/>
        <v>243774.75584733972</v>
      </c>
      <c r="F79" s="12">
        <f t="shared" si="23"/>
        <v>206089.0105683507</v>
      </c>
      <c r="G79" s="12">
        <f t="shared" si="23"/>
        <v>123230.20748224933</v>
      </c>
      <c r="H79" s="12">
        <f t="shared" si="23"/>
        <v>0</v>
      </c>
      <c r="I79" s="12">
        <f t="shared" si="23"/>
        <v>0</v>
      </c>
      <c r="J79" s="12">
        <f t="shared" si="23"/>
        <v>0</v>
      </c>
      <c r="K79" s="12">
        <f t="shared" si="23"/>
        <v>0</v>
      </c>
      <c r="L79" s="12">
        <f t="shared" si="23"/>
        <v>0</v>
      </c>
      <c r="M79" s="12">
        <f t="shared" si="23"/>
        <v>0</v>
      </c>
      <c r="N79" s="12">
        <f t="shared" si="23"/>
        <v>0</v>
      </c>
      <c r="O79" s="12">
        <f t="shared" si="23"/>
        <v>0</v>
      </c>
      <c r="P79" s="12">
        <f t="shared" si="23"/>
        <v>0</v>
      </c>
      <c r="Q79" s="12">
        <f t="shared" si="23"/>
        <v>0</v>
      </c>
      <c r="R79" s="12">
        <f t="shared" si="23"/>
        <v>0</v>
      </c>
      <c r="S79" s="12">
        <f t="shared" si="23"/>
        <v>0</v>
      </c>
      <c r="T79" s="12">
        <f t="shared" si="23"/>
        <v>0</v>
      </c>
      <c r="U79" s="12">
        <f t="shared" si="23"/>
        <v>0</v>
      </c>
      <c r="V79" s="12">
        <f t="shared" si="23"/>
        <v>0</v>
      </c>
      <c r="W79" s="12">
        <f t="shared" si="23"/>
        <v>0</v>
      </c>
      <c r="X79" s="12">
        <f t="shared" si="23"/>
        <v>0</v>
      </c>
      <c r="Y79" s="12">
        <f t="shared" si="23"/>
        <v>0</v>
      </c>
      <c r="Z79" s="12">
        <f t="shared" si="23"/>
        <v>0</v>
      </c>
    </row>
    <row r="80" spans="1:26" ht="16.5" customHeight="1">
      <c r="A80" s="10" t="s">
        <v>343</v>
      </c>
      <c r="B80" s="10" t="s">
        <v>75</v>
      </c>
      <c r="C80" s="31">
        <f t="shared" ref="C80:Z80" si="24">C75-C78</f>
        <v>-182534.30131611635</v>
      </c>
      <c r="D80" s="31">
        <f t="shared" si="24"/>
        <v>-53809.655506406503</v>
      </c>
      <c r="E80" s="31">
        <f t="shared" si="24"/>
        <v>-7430.7990248168644</v>
      </c>
      <c r="F80" s="31">
        <f t="shared" si="24"/>
        <v>37685.745278989023</v>
      </c>
      <c r="G80" s="31">
        <f t="shared" si="24"/>
        <v>82858.803086101369</v>
      </c>
      <c r="H80" s="31">
        <f t="shared" si="24"/>
        <v>127796.25704472387</v>
      </c>
      <c r="I80" s="31">
        <f t="shared" si="24"/>
        <v>156730.21573132955</v>
      </c>
      <c r="J80" s="31">
        <f t="shared" si="24"/>
        <v>198459.54967676196</v>
      </c>
      <c r="K80" s="31">
        <f t="shared" si="24"/>
        <v>240779.508143877</v>
      </c>
      <c r="L80" s="31">
        <f t="shared" si="24"/>
        <v>283810.35870602314</v>
      </c>
      <c r="M80" s="31">
        <f t="shared" si="24"/>
        <v>327674.07445458294</v>
      </c>
      <c r="N80" s="31">
        <f t="shared" si="24"/>
        <v>372494.2451982788</v>
      </c>
      <c r="O80" s="31">
        <f t="shared" si="24"/>
        <v>418396.1302972468</v>
      </c>
      <c r="P80" s="31">
        <f t="shared" si="24"/>
        <v>465506.81038466457</v>
      </c>
      <c r="Q80" s="31">
        <f t="shared" si="24"/>
        <v>513955.40842444985</v>
      </c>
      <c r="R80" s="31">
        <f t="shared" si="24"/>
        <v>563873.35978455795</v>
      </c>
      <c r="S80" s="31">
        <f t="shared" si="24"/>
        <v>615394.71746233606</v>
      </c>
      <c r="T80" s="31">
        <f t="shared" si="24"/>
        <v>668656.48311476363</v>
      </c>
      <c r="U80" s="31">
        <f t="shared" si="24"/>
        <v>723798.95770551637</v>
      </c>
      <c r="V80" s="31">
        <f t="shared" si="24"/>
        <v>780966.10779107129</v>
      </c>
      <c r="W80" s="31">
        <f t="shared" si="24"/>
        <v>840305.94501525979</v>
      </c>
      <c r="X80" s="31">
        <f t="shared" si="24"/>
        <v>901970.9174658627</v>
      </c>
      <c r="Y80" s="31">
        <f t="shared" si="24"/>
        <v>966118.3123080415</v>
      </c>
      <c r="Z80" s="31">
        <f t="shared" si="24"/>
        <v>1032910.6696456053</v>
      </c>
    </row>
    <row r="81" spans="1:26" ht="16.5" customHeight="1">
      <c r="A81" s="10" t="s">
        <v>11</v>
      </c>
      <c r="B81" s="10" t="s">
        <v>75</v>
      </c>
      <c r="C81" s="31">
        <f>C80</f>
        <v>-182534.30131611635</v>
      </c>
      <c r="D81" s="31">
        <f t="shared" ref="D81:Z81" si="25">C81+D80</f>
        <v>-236343.95682252286</v>
      </c>
      <c r="E81" s="31">
        <f t="shared" si="25"/>
        <v>-243774.75584733972</v>
      </c>
      <c r="F81" s="31">
        <f t="shared" si="25"/>
        <v>-206089.0105683507</v>
      </c>
      <c r="G81" s="31">
        <f t="shared" si="25"/>
        <v>-123230.20748224933</v>
      </c>
      <c r="H81" s="31">
        <f t="shared" si="25"/>
        <v>4566.0495624745381</v>
      </c>
      <c r="I81" s="31">
        <f t="shared" si="25"/>
        <v>161296.26529380408</v>
      </c>
      <c r="J81" s="31">
        <f t="shared" si="25"/>
        <v>359755.81497056608</v>
      </c>
      <c r="K81" s="31">
        <f t="shared" si="25"/>
        <v>600535.3231144431</v>
      </c>
      <c r="L81" s="31">
        <f t="shared" si="25"/>
        <v>884345.68182046618</v>
      </c>
      <c r="M81" s="31">
        <f t="shared" si="25"/>
        <v>1212019.7562750492</v>
      </c>
      <c r="N81" s="31">
        <f t="shared" si="25"/>
        <v>1584514.0014733281</v>
      </c>
      <c r="O81" s="31">
        <f t="shared" si="25"/>
        <v>2002910.131770575</v>
      </c>
      <c r="P81" s="31">
        <f t="shared" si="25"/>
        <v>2468416.9421552396</v>
      </c>
      <c r="Q81" s="31">
        <f t="shared" si="25"/>
        <v>2982372.3505796893</v>
      </c>
      <c r="R81" s="31">
        <f t="shared" si="25"/>
        <v>3546245.7103642472</v>
      </c>
      <c r="S81" s="31">
        <f t="shared" si="25"/>
        <v>4161640.4278265834</v>
      </c>
      <c r="T81" s="31">
        <f t="shared" si="25"/>
        <v>4830296.9109413475</v>
      </c>
      <c r="U81" s="31">
        <f t="shared" si="25"/>
        <v>5554095.8686468638</v>
      </c>
      <c r="V81" s="31">
        <f t="shared" si="25"/>
        <v>6335061.9764379356</v>
      </c>
      <c r="W81" s="31">
        <f t="shared" si="25"/>
        <v>7175367.9214531956</v>
      </c>
      <c r="X81" s="31">
        <f t="shared" si="25"/>
        <v>8077338.8389190584</v>
      </c>
      <c r="Y81" s="31">
        <f t="shared" si="25"/>
        <v>9043457.1512270998</v>
      </c>
      <c r="Z81" s="31">
        <f t="shared" si="25"/>
        <v>10076367.820872705</v>
      </c>
    </row>
    <row r="82" spans="1:26" ht="16.5" customHeight="1">
      <c r="A82" s="1" t="s">
        <v>344</v>
      </c>
      <c r="B82" s="11" t="s">
        <v>101</v>
      </c>
      <c r="C82" s="19">
        <f t="shared" ref="C82:Z82" si="26">IF(C52=0,0,C80/C52)</f>
        <v>-3.3075979152907995</v>
      </c>
      <c r="D82" s="19">
        <f t="shared" si="26"/>
        <v>-0.28361965886852769</v>
      </c>
      <c r="E82" s="19">
        <f t="shared" si="26"/>
        <v>-3.0989806866921904E-2</v>
      </c>
      <c r="F82" s="19">
        <f t="shared" si="26"/>
        <v>0.13066506013458559</v>
      </c>
      <c r="G82" s="19">
        <f t="shared" si="26"/>
        <v>0.24584578972917517</v>
      </c>
      <c r="H82" s="19">
        <f t="shared" si="26"/>
        <v>0.33116526507182159</v>
      </c>
      <c r="I82" s="19">
        <f t="shared" si="26"/>
        <v>0.36016999845613173</v>
      </c>
      <c r="J82" s="19">
        <f t="shared" si="26"/>
        <v>0.40922956000501876</v>
      </c>
      <c r="K82" s="19">
        <f t="shared" si="26"/>
        <v>0.44967104564152666</v>
      </c>
      <c r="L82" s="19">
        <f t="shared" si="26"/>
        <v>0.48365780631062616</v>
      </c>
      <c r="M82" s="19">
        <f t="shared" si="26"/>
        <v>0.51268166812333038</v>
      </c>
      <c r="N82" s="19">
        <f t="shared" si="26"/>
        <v>0.53780455557276108</v>
      </c>
      <c r="O82" s="19">
        <f t="shared" si="26"/>
        <v>0.55980275816255498</v>
      </c>
      <c r="P82" s="19">
        <f t="shared" si="26"/>
        <v>0.57925675381514141</v>
      </c>
      <c r="Q82" s="19">
        <f t="shared" si="26"/>
        <v>0.59660915569887918</v>
      </c>
      <c r="R82" s="19">
        <f t="shared" si="26"/>
        <v>0.61220325100250939</v>
      </c>
      <c r="S82" s="19">
        <f t="shared" si="26"/>
        <v>0.62630931803893652</v>
      </c>
      <c r="T82" s="19">
        <f t="shared" si="26"/>
        <v>0.63914301776952642</v>
      </c>
      <c r="U82" s="19">
        <f t="shared" si="26"/>
        <v>0.65087851132098806</v>
      </c>
      <c r="V82" s="19">
        <f t="shared" si="26"/>
        <v>0.66165798678504917</v>
      </c>
      <c r="W82" s="19">
        <f t="shared" si="26"/>
        <v>0.67159869096304492</v>
      </c>
      <c r="X82" s="19">
        <f t="shared" si="26"/>
        <v>0.6807981953631107</v>
      </c>
      <c r="Y82" s="19">
        <f t="shared" si="26"/>
        <v>0.68933839177418088</v>
      </c>
      <c r="Z82" s="19">
        <f t="shared" si="26"/>
        <v>0.69728856001202066</v>
      </c>
    </row>
    <row r="83" spans="1:26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>
      <c r="A84" s="5" t="s">
        <v>345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6.5" customHeight="1">
      <c r="A85" s="1" t="s">
        <v>346</v>
      </c>
      <c r="B85" s="1" t="s">
        <v>96</v>
      </c>
      <c r="C85" s="32">
        <f t="shared" ref="C85:Z85" si="27">ROUND(C14-SUM(C7,C9,C11),6)</f>
        <v>0</v>
      </c>
      <c r="D85" s="32">
        <f t="shared" si="27"/>
        <v>0</v>
      </c>
      <c r="E85" s="32">
        <f t="shared" si="27"/>
        <v>0</v>
      </c>
      <c r="F85" s="32">
        <f t="shared" si="27"/>
        <v>0</v>
      </c>
      <c r="G85" s="32">
        <f t="shared" si="27"/>
        <v>0</v>
      </c>
      <c r="H85" s="32">
        <f t="shared" si="27"/>
        <v>0</v>
      </c>
      <c r="I85" s="32">
        <f t="shared" si="27"/>
        <v>0</v>
      </c>
      <c r="J85" s="32">
        <f t="shared" si="27"/>
        <v>0</v>
      </c>
      <c r="K85" s="32">
        <f t="shared" si="27"/>
        <v>0</v>
      </c>
      <c r="L85" s="32">
        <f t="shared" si="27"/>
        <v>0</v>
      </c>
      <c r="M85" s="32">
        <f t="shared" si="27"/>
        <v>0</v>
      </c>
      <c r="N85" s="32">
        <f t="shared" si="27"/>
        <v>0</v>
      </c>
      <c r="O85" s="32">
        <f t="shared" si="27"/>
        <v>0</v>
      </c>
      <c r="P85" s="32">
        <f t="shared" si="27"/>
        <v>0</v>
      </c>
      <c r="Q85" s="32">
        <f t="shared" si="27"/>
        <v>0</v>
      </c>
      <c r="R85" s="32">
        <f t="shared" si="27"/>
        <v>0</v>
      </c>
      <c r="S85" s="32">
        <f t="shared" si="27"/>
        <v>0</v>
      </c>
      <c r="T85" s="32">
        <f t="shared" si="27"/>
        <v>0</v>
      </c>
      <c r="U85" s="32">
        <f t="shared" si="27"/>
        <v>0</v>
      </c>
      <c r="V85" s="32">
        <f t="shared" si="27"/>
        <v>0</v>
      </c>
      <c r="W85" s="32">
        <f t="shared" si="27"/>
        <v>0</v>
      </c>
      <c r="X85" s="32">
        <f t="shared" si="27"/>
        <v>0</v>
      </c>
      <c r="Y85" s="32">
        <f t="shared" si="27"/>
        <v>0</v>
      </c>
      <c r="Z85" s="32">
        <f t="shared" si="27"/>
        <v>0</v>
      </c>
    </row>
    <row r="86" spans="1:26" ht="16.5" customHeight="1">
      <c r="A86" s="1" t="s">
        <v>347</v>
      </c>
      <c r="B86" s="1" t="s">
        <v>96</v>
      </c>
      <c r="C86" s="32">
        <f t="shared" ref="C86:Z86" si="28">ROUND(C34-(SUM(C22:C24)-SUM(C25:C27)+C21),6)</f>
        <v>0</v>
      </c>
      <c r="D86" s="32">
        <f t="shared" si="28"/>
        <v>0</v>
      </c>
      <c r="E86" s="32">
        <f t="shared" si="28"/>
        <v>0</v>
      </c>
      <c r="F86" s="32">
        <f t="shared" si="28"/>
        <v>0</v>
      </c>
      <c r="G86" s="32">
        <f t="shared" si="28"/>
        <v>0</v>
      </c>
      <c r="H86" s="32">
        <f t="shared" si="28"/>
        <v>0</v>
      </c>
      <c r="I86" s="32">
        <f t="shared" si="28"/>
        <v>0</v>
      </c>
      <c r="J86" s="32">
        <f t="shared" si="28"/>
        <v>0</v>
      </c>
      <c r="K86" s="32">
        <f t="shared" si="28"/>
        <v>0</v>
      </c>
      <c r="L86" s="32">
        <f t="shared" si="28"/>
        <v>0</v>
      </c>
      <c r="M86" s="32">
        <f t="shared" si="28"/>
        <v>0</v>
      </c>
      <c r="N86" s="32">
        <f t="shared" si="28"/>
        <v>0</v>
      </c>
      <c r="O86" s="32">
        <f t="shared" si="28"/>
        <v>0</v>
      </c>
      <c r="P86" s="32">
        <f t="shared" si="28"/>
        <v>0</v>
      </c>
      <c r="Q86" s="32">
        <f t="shared" si="28"/>
        <v>0</v>
      </c>
      <c r="R86" s="32">
        <f t="shared" si="28"/>
        <v>0</v>
      </c>
      <c r="S86" s="32">
        <f t="shared" si="28"/>
        <v>0</v>
      </c>
      <c r="T86" s="32">
        <f t="shared" si="28"/>
        <v>0</v>
      </c>
      <c r="U86" s="32">
        <f t="shared" si="28"/>
        <v>0</v>
      </c>
      <c r="V86" s="32">
        <f t="shared" si="28"/>
        <v>0</v>
      </c>
      <c r="W86" s="32">
        <f t="shared" si="28"/>
        <v>0</v>
      </c>
      <c r="X86" s="32">
        <f t="shared" si="28"/>
        <v>0</v>
      </c>
      <c r="Y86" s="32">
        <f t="shared" si="28"/>
        <v>0</v>
      </c>
      <c r="Z86" s="32">
        <f t="shared" si="28"/>
        <v>0</v>
      </c>
    </row>
    <row r="87" spans="1:26" ht="16.5" customHeight="1">
      <c r="A87" s="1" t="s">
        <v>348</v>
      </c>
      <c r="B87" s="1" t="s">
        <v>96</v>
      </c>
      <c r="C87" s="32">
        <f t="shared" ref="C87:Z87" si="29">MAX(0,-MIN(C31,C32,C33,C40,C50))</f>
        <v>0</v>
      </c>
      <c r="D87" s="32">
        <f t="shared" si="29"/>
        <v>0</v>
      </c>
      <c r="E87" s="32">
        <f t="shared" si="29"/>
        <v>0</v>
      </c>
      <c r="F87" s="32">
        <f t="shared" si="29"/>
        <v>0</v>
      </c>
      <c r="G87" s="32">
        <f t="shared" si="29"/>
        <v>0</v>
      </c>
      <c r="H87" s="32">
        <f t="shared" si="29"/>
        <v>0</v>
      </c>
      <c r="I87" s="32">
        <f t="shared" si="29"/>
        <v>0</v>
      </c>
      <c r="J87" s="32">
        <f t="shared" si="29"/>
        <v>0</v>
      </c>
      <c r="K87" s="32">
        <f t="shared" si="29"/>
        <v>0</v>
      </c>
      <c r="L87" s="32">
        <f t="shared" si="29"/>
        <v>0</v>
      </c>
      <c r="M87" s="32">
        <f t="shared" si="29"/>
        <v>0</v>
      </c>
      <c r="N87" s="32">
        <f t="shared" si="29"/>
        <v>0</v>
      </c>
      <c r="O87" s="32">
        <f t="shared" si="29"/>
        <v>0</v>
      </c>
      <c r="P87" s="32">
        <f t="shared" si="29"/>
        <v>0</v>
      </c>
      <c r="Q87" s="32">
        <f t="shared" si="29"/>
        <v>0</v>
      </c>
      <c r="R87" s="32">
        <f t="shared" si="29"/>
        <v>0</v>
      </c>
      <c r="S87" s="32">
        <f t="shared" si="29"/>
        <v>0</v>
      </c>
      <c r="T87" s="32">
        <f t="shared" si="29"/>
        <v>0</v>
      </c>
      <c r="U87" s="32">
        <f t="shared" si="29"/>
        <v>0</v>
      </c>
      <c r="V87" s="32">
        <f t="shared" si="29"/>
        <v>0</v>
      </c>
      <c r="W87" s="32">
        <f t="shared" si="29"/>
        <v>0</v>
      </c>
      <c r="X87" s="32">
        <f t="shared" si="29"/>
        <v>0</v>
      </c>
      <c r="Y87" s="32">
        <f t="shared" si="29"/>
        <v>0</v>
      </c>
      <c r="Z87" s="32">
        <f t="shared" si="29"/>
        <v>0</v>
      </c>
    </row>
    <row r="88" spans="1:26" ht="16.5" customHeight="1">
      <c r="A88" s="1" t="s">
        <v>349</v>
      </c>
      <c r="B88" s="1" t="s">
        <v>96</v>
      </c>
      <c r="C88" s="32">
        <f t="shared" ref="C88:Z88" si="30">MAX(0,C44-C34)</f>
        <v>0</v>
      </c>
      <c r="D88" s="32">
        <f t="shared" si="30"/>
        <v>0</v>
      </c>
      <c r="E88" s="32">
        <f t="shared" si="30"/>
        <v>0</v>
      </c>
      <c r="F88" s="32">
        <f t="shared" si="30"/>
        <v>0</v>
      </c>
      <c r="G88" s="32">
        <f t="shared" si="30"/>
        <v>0</v>
      </c>
      <c r="H88" s="32">
        <f t="shared" si="30"/>
        <v>0</v>
      </c>
      <c r="I88" s="32">
        <f t="shared" si="30"/>
        <v>0</v>
      </c>
      <c r="J88" s="32">
        <f t="shared" si="30"/>
        <v>0</v>
      </c>
      <c r="K88" s="32">
        <f t="shared" si="30"/>
        <v>0</v>
      </c>
      <c r="L88" s="32">
        <f t="shared" si="30"/>
        <v>0</v>
      </c>
      <c r="M88" s="32">
        <f t="shared" si="30"/>
        <v>0</v>
      </c>
      <c r="N88" s="32">
        <f t="shared" si="30"/>
        <v>0</v>
      </c>
      <c r="O88" s="32">
        <f t="shared" si="30"/>
        <v>0</v>
      </c>
      <c r="P88" s="32">
        <f t="shared" si="30"/>
        <v>0</v>
      </c>
      <c r="Q88" s="32">
        <f t="shared" si="30"/>
        <v>0</v>
      </c>
      <c r="R88" s="32">
        <f t="shared" si="30"/>
        <v>0</v>
      </c>
      <c r="S88" s="32">
        <f t="shared" si="30"/>
        <v>0</v>
      </c>
      <c r="T88" s="32">
        <f t="shared" si="30"/>
        <v>0</v>
      </c>
      <c r="U88" s="32">
        <f t="shared" si="30"/>
        <v>0</v>
      </c>
      <c r="V88" s="32">
        <f t="shared" si="30"/>
        <v>0</v>
      </c>
      <c r="W88" s="32">
        <f t="shared" si="30"/>
        <v>0</v>
      </c>
      <c r="X88" s="32">
        <f t="shared" si="30"/>
        <v>0</v>
      </c>
      <c r="Y88" s="32">
        <f t="shared" si="30"/>
        <v>0</v>
      </c>
      <c r="Z88" s="32">
        <f t="shared" si="30"/>
        <v>0</v>
      </c>
    </row>
    <row r="89" spans="1:26" ht="16.5" customHeight="1">
      <c r="A89" s="1" t="s">
        <v>350</v>
      </c>
      <c r="B89" s="1" t="s">
        <v>96</v>
      </c>
      <c r="C89" s="32">
        <f t="shared" ref="C89:Z89" si="31">ROUND(C52+C51-C50,6)</f>
        <v>0</v>
      </c>
      <c r="D89" s="32">
        <f t="shared" si="31"/>
        <v>0</v>
      </c>
      <c r="E89" s="32">
        <f t="shared" si="31"/>
        <v>0</v>
      </c>
      <c r="F89" s="32">
        <f t="shared" si="31"/>
        <v>0</v>
      </c>
      <c r="G89" s="32">
        <f t="shared" si="31"/>
        <v>0</v>
      </c>
      <c r="H89" s="32">
        <f t="shared" si="31"/>
        <v>0</v>
      </c>
      <c r="I89" s="32">
        <f t="shared" si="31"/>
        <v>0</v>
      </c>
      <c r="J89" s="32">
        <f t="shared" si="31"/>
        <v>0</v>
      </c>
      <c r="K89" s="32">
        <f t="shared" si="31"/>
        <v>0</v>
      </c>
      <c r="L89" s="32">
        <f t="shared" si="31"/>
        <v>0</v>
      </c>
      <c r="M89" s="32">
        <f t="shared" si="31"/>
        <v>0</v>
      </c>
      <c r="N89" s="32">
        <f t="shared" si="31"/>
        <v>0</v>
      </c>
      <c r="O89" s="32">
        <f t="shared" si="31"/>
        <v>0</v>
      </c>
      <c r="P89" s="32">
        <f t="shared" si="31"/>
        <v>0</v>
      </c>
      <c r="Q89" s="32">
        <f t="shared" si="31"/>
        <v>0</v>
      </c>
      <c r="R89" s="32">
        <f t="shared" si="31"/>
        <v>0</v>
      </c>
      <c r="S89" s="32">
        <f t="shared" si="31"/>
        <v>0</v>
      </c>
      <c r="T89" s="32">
        <f t="shared" si="31"/>
        <v>0</v>
      </c>
      <c r="U89" s="32">
        <f t="shared" si="31"/>
        <v>0</v>
      </c>
      <c r="V89" s="32">
        <f t="shared" si="31"/>
        <v>0</v>
      </c>
      <c r="W89" s="32">
        <f t="shared" si="31"/>
        <v>0</v>
      </c>
      <c r="X89" s="32">
        <f t="shared" si="31"/>
        <v>0</v>
      </c>
      <c r="Y89" s="32">
        <f t="shared" si="31"/>
        <v>0</v>
      </c>
      <c r="Z89" s="32">
        <f t="shared" si="31"/>
        <v>0</v>
      </c>
    </row>
    <row r="90" spans="1:26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>
      <c r="A91" s="23" t="s">
        <v>351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6.5" customHeight="1">
      <c r="A92" s="11" t="s">
        <v>352</v>
      </c>
      <c r="B92" s="1" t="s">
        <v>96</v>
      </c>
      <c r="C92" s="35">
        <f>IF(Assumptions!$C$76=0,0,C14/Assumptions!$C$76)</f>
        <v>725.19999999999993</v>
      </c>
      <c r="D92" s="35">
        <f>IF(Assumptions!$C$76=0,0,D14/Assumptions!$C$76)</f>
        <v>422.11680000000001</v>
      </c>
      <c r="E92" s="35">
        <f>IF(Assumptions!$C$76=0,0,E14/Assumptions!$C$76)</f>
        <v>441</v>
      </c>
      <c r="F92" s="35">
        <f>IF(Assumptions!$C$76=0,0,F14/Assumptions!$C$76)</f>
        <v>463.05000000000007</v>
      </c>
      <c r="G92" s="35">
        <f>IF(Assumptions!$C$76=0,0,G14/Assumptions!$C$76)</f>
        <v>486.20249999999999</v>
      </c>
      <c r="H92" s="35">
        <f>IF(Assumptions!$C$76=0,0,H14/Assumptions!$C$76)</f>
        <v>510.51262500000007</v>
      </c>
      <c r="I92" s="35">
        <f>IF(Assumptions!$C$76=0,0,I14/Assumptions!$C$76)</f>
        <v>536.0382562499999</v>
      </c>
      <c r="J92" s="35">
        <f>IF(Assumptions!$C$76=0,0,J14/Assumptions!$C$76)</f>
        <v>562.84016906250008</v>
      </c>
      <c r="K92" s="35">
        <f>IF(Assumptions!$C$76=0,0,K14/Assumptions!$C$76)</f>
        <v>590.98217751562493</v>
      </c>
      <c r="L92" s="35">
        <f>IF(Assumptions!$C$76=0,0,L14/Assumptions!$C$76)</f>
        <v>620.5312863914063</v>
      </c>
      <c r="M92" s="35">
        <f>IF(Assumptions!$C$76=0,0,M14/Assumptions!$C$76)</f>
        <v>651.5578507109766</v>
      </c>
      <c r="N92" s="35">
        <f>IF(Assumptions!$C$76=0,0,N14/Assumptions!$C$76)</f>
        <v>684.13574324652552</v>
      </c>
      <c r="O92" s="35">
        <f>IF(Assumptions!$C$76=0,0,O14/Assumptions!$C$76)</f>
        <v>718.34253040885164</v>
      </c>
      <c r="P92" s="35">
        <f>IF(Assumptions!$C$76=0,0,P14/Assumptions!$C$76)</f>
        <v>754.25965692929435</v>
      </c>
      <c r="Q92" s="35">
        <f>IF(Assumptions!$C$76=0,0,Q14/Assumptions!$C$76)</f>
        <v>791.97263977575881</v>
      </c>
      <c r="R92" s="35">
        <f>IF(Assumptions!$C$76=0,0,R14/Assumptions!$C$76)</f>
        <v>831.57127176454708</v>
      </c>
      <c r="S92" s="35">
        <f>IF(Assumptions!$C$76=0,0,S14/Assumptions!$C$76)</f>
        <v>873.14983535277429</v>
      </c>
      <c r="T92" s="35">
        <f>IF(Assumptions!$C$76=0,0,T14/Assumptions!$C$76)</f>
        <v>916.80732712041333</v>
      </c>
      <c r="U92" s="35">
        <f>IF(Assumptions!$C$76=0,0,U14/Assumptions!$C$76)</f>
        <v>962.64769347643391</v>
      </c>
      <c r="V92" s="35">
        <f>IF(Assumptions!$C$76=0,0,V14/Assumptions!$C$76)</f>
        <v>1010.7800781502556</v>
      </c>
      <c r="W92" s="35">
        <f>IF(Assumptions!$C$76=0,0,W14/Assumptions!$C$76)</f>
        <v>1061.3190820577684</v>
      </c>
      <c r="X92" s="35">
        <f>IF(Assumptions!$C$76=0,0,X14/Assumptions!$C$76)</f>
        <v>1114.3850361606567</v>
      </c>
      <c r="Y92" s="35">
        <f>IF(Assumptions!$C$76=0,0,Y14/Assumptions!$C$76)</f>
        <v>1170.1042879686895</v>
      </c>
      <c r="Z92" s="35">
        <f>IF(Assumptions!$C$76=0,0,Z14/Assumptions!$C$76)</f>
        <v>1228.6095023671242</v>
      </c>
    </row>
    <row r="93" spans="1:26" ht="16.5" customHeight="1">
      <c r="A93" s="11" t="s">
        <v>353</v>
      </c>
      <c r="B93" s="11" t="s">
        <v>237</v>
      </c>
      <c r="C93" s="39">
        <f>C92*Assumptions!$C$78/1024</f>
        <v>1.4164062499999999</v>
      </c>
      <c r="D93" s="39">
        <f>D92*Assumptions!$C$78/1024</f>
        <v>0.82444687500000002</v>
      </c>
      <c r="E93" s="39">
        <f>E92*Assumptions!$C$78/1024</f>
        <v>0.861328125</v>
      </c>
      <c r="F93" s="39">
        <f>F92*Assumptions!$C$78/1024</f>
        <v>0.90439453125000013</v>
      </c>
      <c r="G93" s="39">
        <f>G92*Assumptions!$C$78/1024</f>
        <v>0.94961425781249997</v>
      </c>
      <c r="H93" s="39">
        <f>H92*Assumptions!$C$78/1024</f>
        <v>0.99709497070312514</v>
      </c>
      <c r="I93" s="39">
        <f>I92*Assumptions!$C$78/1024</f>
        <v>1.0469497192382811</v>
      </c>
      <c r="J93" s="39">
        <f>J92*Assumptions!$C$78/1024</f>
        <v>1.0992972052001955</v>
      </c>
      <c r="K93" s="39">
        <f>K92*Assumptions!$C$78/1024</f>
        <v>1.1542620654602049</v>
      </c>
      <c r="L93" s="39">
        <f>L92*Assumptions!$C$78/1024</f>
        <v>1.2119751687332154</v>
      </c>
      <c r="M93" s="39">
        <f>M92*Assumptions!$C$78/1024</f>
        <v>1.2725739271698762</v>
      </c>
      <c r="N93" s="39">
        <f>N92*Assumptions!$C$78/1024</f>
        <v>1.3362026235283702</v>
      </c>
      <c r="O93" s="39">
        <f>O92*Assumptions!$C$78/1024</f>
        <v>1.4030127547047884</v>
      </c>
      <c r="P93" s="39">
        <f>P92*Assumptions!$C$78/1024</f>
        <v>1.473163392440028</v>
      </c>
      <c r="Q93" s="39">
        <f>Q92*Assumptions!$C$78/1024</f>
        <v>1.5468215620620289</v>
      </c>
      <c r="R93" s="39">
        <f>R92*Assumptions!$C$78/1024</f>
        <v>1.624162640165131</v>
      </c>
      <c r="S93" s="39">
        <f>S92*Assumptions!$C$78/1024</f>
        <v>1.7053707721733873</v>
      </c>
      <c r="T93" s="39">
        <f>T92*Assumptions!$C$78/1024</f>
        <v>1.7906393107820573</v>
      </c>
      <c r="U93" s="39">
        <f>U92*Assumptions!$C$78/1024</f>
        <v>1.88017127632116</v>
      </c>
      <c r="V93" s="39">
        <f>V92*Assumptions!$C$78/1024</f>
        <v>1.9741798401372179</v>
      </c>
      <c r="W93" s="39">
        <f>W92*Assumptions!$C$78/1024</f>
        <v>2.0728888321440788</v>
      </c>
      <c r="X93" s="39">
        <f>X92*Assumptions!$C$78/1024</f>
        <v>2.1765332737512826</v>
      </c>
      <c r="Y93" s="39">
        <f>Y92*Assumptions!$C$78/1024</f>
        <v>2.2853599374388467</v>
      </c>
      <c r="Z93" s="39">
        <f>Z92*Assumptions!$C$78/1024</f>
        <v>2.3996279343107894</v>
      </c>
    </row>
    <row r="94" spans="1:26" ht="16.5" customHeight="1">
      <c r="A94" s="11" t="s">
        <v>354</v>
      </c>
      <c r="B94" s="1" t="s">
        <v>231</v>
      </c>
      <c r="C94" s="35">
        <f>C92*Assumptions!$C$77</f>
        <v>5801.5999999999995</v>
      </c>
      <c r="D94" s="35">
        <f>D92*Assumptions!$C$77</f>
        <v>3376.9344000000001</v>
      </c>
      <c r="E94" s="35">
        <f>E92*Assumptions!$C$77</f>
        <v>3528</v>
      </c>
      <c r="F94" s="35">
        <f>F92*Assumptions!$C$77</f>
        <v>3704.4000000000005</v>
      </c>
      <c r="G94" s="35">
        <f>G92*Assumptions!$C$77</f>
        <v>3889.62</v>
      </c>
      <c r="H94" s="35">
        <f>H92*Assumptions!$C$77</f>
        <v>4084.1010000000006</v>
      </c>
      <c r="I94" s="35">
        <f>I92*Assumptions!$C$77</f>
        <v>4288.3060499999992</v>
      </c>
      <c r="J94" s="35">
        <f>J92*Assumptions!$C$77</f>
        <v>4502.7213525000006</v>
      </c>
      <c r="K94" s="35">
        <f>K92*Assumptions!$C$77</f>
        <v>4727.8574201249994</v>
      </c>
      <c r="L94" s="35">
        <f>L92*Assumptions!$C$77</f>
        <v>4964.2502911312504</v>
      </c>
      <c r="M94" s="35">
        <f>M92*Assumptions!$C$77</f>
        <v>5212.4628056878128</v>
      </c>
      <c r="N94" s="35">
        <f>N92*Assumptions!$C$77</f>
        <v>5473.0859459722042</v>
      </c>
      <c r="O94" s="35">
        <f>O92*Assumptions!$C$77</f>
        <v>5746.7402432708132</v>
      </c>
      <c r="P94" s="35">
        <f>P92*Assumptions!$C$77</f>
        <v>6034.0772554343548</v>
      </c>
      <c r="Q94" s="35">
        <f>Q92*Assumptions!$C$77</f>
        <v>6335.7811182060705</v>
      </c>
      <c r="R94" s="35">
        <f>R92*Assumptions!$C$77</f>
        <v>6652.5701741163766</v>
      </c>
      <c r="S94" s="35">
        <f>S92*Assumptions!$C$77</f>
        <v>6985.1986828221943</v>
      </c>
      <c r="T94" s="35">
        <f>T92*Assumptions!$C$77</f>
        <v>7334.4586169633067</v>
      </c>
      <c r="U94" s="35">
        <f>U92*Assumptions!$C$77</f>
        <v>7701.1815478114713</v>
      </c>
      <c r="V94" s="35">
        <f>V92*Assumptions!$C$77</f>
        <v>8086.2406252020446</v>
      </c>
      <c r="W94" s="35">
        <f>W92*Assumptions!$C$77</f>
        <v>8490.5526564621468</v>
      </c>
      <c r="X94" s="35">
        <f>X92*Assumptions!$C$77</f>
        <v>8915.0802892852535</v>
      </c>
      <c r="Y94" s="35">
        <f>Y92*Assumptions!$C$77</f>
        <v>9360.834303749516</v>
      </c>
      <c r="Z94" s="35">
        <f>Z92*Assumptions!$C$77</f>
        <v>9828.8760189369932</v>
      </c>
    </row>
    <row r="95" spans="1:26" ht="16.5" customHeight="1">
      <c r="A95" s="11" t="s">
        <v>355</v>
      </c>
      <c r="B95" s="11" t="s">
        <v>225</v>
      </c>
      <c r="C95" s="37">
        <f>IF(OR(Assumptions!$C$75=0,C93&gt;Assumptions!$C$83,C94&gt;Assumptions!$C$84),1,0)</f>
        <v>1</v>
      </c>
      <c r="D95" s="37">
        <f>MAX(C95,IF(OR(Assumptions!$C$75=0,D93&gt;Assumptions!$C$83,D94&gt;Assumptions!$C$84),1,0))</f>
        <v>1</v>
      </c>
      <c r="E95" s="37">
        <f>MAX(D95,IF(OR(Assumptions!$C$75=0,E93&gt;Assumptions!$C$83,E94&gt;Assumptions!$C$84),1,0))</f>
        <v>1</v>
      </c>
      <c r="F95" s="37">
        <f>MAX(E95,IF(OR(Assumptions!$C$75=0,F93&gt;Assumptions!$C$83,F94&gt;Assumptions!$C$84),1,0))</f>
        <v>1</v>
      </c>
      <c r="G95" s="37">
        <f>MAX(F95,IF(OR(Assumptions!$C$75=0,G93&gt;Assumptions!$C$83,G94&gt;Assumptions!$C$84),1,0))</f>
        <v>1</v>
      </c>
      <c r="H95" s="37">
        <f>MAX(G95,IF(OR(Assumptions!$C$75=0,H93&gt;Assumptions!$C$83,H94&gt;Assumptions!$C$84),1,0))</f>
        <v>1</v>
      </c>
      <c r="I95" s="37">
        <f>MAX(H95,IF(OR(Assumptions!$C$75=0,I93&gt;Assumptions!$C$83,I94&gt;Assumptions!$C$84),1,0))</f>
        <v>1</v>
      </c>
      <c r="J95" s="37">
        <f>MAX(I95,IF(OR(Assumptions!$C$75=0,J93&gt;Assumptions!$C$83,J94&gt;Assumptions!$C$84),1,0))</f>
        <v>1</v>
      </c>
      <c r="K95" s="37">
        <f>MAX(J95,IF(OR(Assumptions!$C$75=0,K93&gt;Assumptions!$C$83,K94&gt;Assumptions!$C$84),1,0))</f>
        <v>1</v>
      </c>
      <c r="L95" s="37">
        <f>MAX(K95,IF(OR(Assumptions!$C$75=0,L93&gt;Assumptions!$C$83,L94&gt;Assumptions!$C$84),1,0))</f>
        <v>1</v>
      </c>
      <c r="M95" s="37">
        <f>MAX(L95,IF(OR(Assumptions!$C$75=0,M93&gt;Assumptions!$C$83,M94&gt;Assumptions!$C$84),1,0))</f>
        <v>1</v>
      </c>
      <c r="N95" s="37">
        <f>MAX(M95,IF(OR(Assumptions!$C$75=0,N93&gt;Assumptions!$C$83,N94&gt;Assumptions!$C$84),1,0))</f>
        <v>1</v>
      </c>
      <c r="O95" s="37">
        <f>MAX(N95,IF(OR(Assumptions!$C$75=0,O93&gt;Assumptions!$C$83,O94&gt;Assumptions!$C$84),1,0))</f>
        <v>1</v>
      </c>
      <c r="P95" s="37">
        <f>MAX(O95,IF(OR(Assumptions!$C$75=0,P93&gt;Assumptions!$C$83,P94&gt;Assumptions!$C$84),1,0))</f>
        <v>1</v>
      </c>
      <c r="Q95" s="37">
        <f>MAX(P95,IF(OR(Assumptions!$C$75=0,Q93&gt;Assumptions!$C$83,Q94&gt;Assumptions!$C$84),1,0))</f>
        <v>1</v>
      </c>
      <c r="R95" s="37">
        <f>MAX(Q95,IF(OR(Assumptions!$C$75=0,R93&gt;Assumptions!$C$83,R94&gt;Assumptions!$C$84),1,0))</f>
        <v>1</v>
      </c>
      <c r="S95" s="37">
        <f>MAX(R95,IF(OR(Assumptions!$C$75=0,S93&gt;Assumptions!$C$83,S94&gt;Assumptions!$C$84),1,0))</f>
        <v>1</v>
      </c>
      <c r="T95" s="37">
        <f>MAX(S95,IF(OR(Assumptions!$C$75=0,T93&gt;Assumptions!$C$83,T94&gt;Assumptions!$C$84),1,0))</f>
        <v>1</v>
      </c>
      <c r="U95" s="37">
        <f>MAX(T95,IF(OR(Assumptions!$C$75=0,U93&gt;Assumptions!$C$83,U94&gt;Assumptions!$C$84),1,0))</f>
        <v>1</v>
      </c>
      <c r="V95" s="37">
        <f>MAX(U95,IF(OR(Assumptions!$C$75=0,V93&gt;Assumptions!$C$83,V94&gt;Assumptions!$C$84),1,0))</f>
        <v>1</v>
      </c>
      <c r="W95" s="37">
        <f>MAX(V95,IF(OR(Assumptions!$C$75=0,W93&gt;Assumptions!$C$83,W94&gt;Assumptions!$C$84),1,0))</f>
        <v>1</v>
      </c>
      <c r="X95" s="37">
        <f>MAX(W95,IF(OR(Assumptions!$C$75=0,X93&gt;Assumptions!$C$83,X94&gt;Assumptions!$C$84),1,0))</f>
        <v>1</v>
      </c>
      <c r="Y95" s="37">
        <f>MAX(X95,IF(OR(Assumptions!$C$75=0,Y93&gt;Assumptions!$C$83,Y94&gt;Assumptions!$C$84),1,0))</f>
        <v>1</v>
      </c>
      <c r="Z95" s="37">
        <f>MAX(Y95,IF(OR(Assumptions!$C$75=0,Z93&gt;Assumptions!$C$83,Z94&gt;Assumptions!$C$84),1,0))</f>
        <v>1</v>
      </c>
    </row>
    <row r="96" spans="1:26" ht="15">
      <c r="A96" s="26" t="s">
        <v>356</v>
      </c>
      <c r="B96" s="26" t="s">
        <v>163</v>
      </c>
      <c r="C96" s="41">
        <f>MAX(0,C93-Assumptions!$C$79)*Assumptions!$C$81+MAX(0,C94-Assumptions!$C$80)/1000000*Assumptions!$C$82</f>
        <v>0</v>
      </c>
      <c r="D96" s="41">
        <f>MAX(0,D93-Assumptions!$C$79)*Assumptions!$C$81+MAX(0,D94-Assumptions!$C$80)/1000000*Assumptions!$C$82</f>
        <v>0</v>
      </c>
      <c r="E96" s="41">
        <f>MAX(0,E93-Assumptions!$C$79)*Assumptions!$C$81+MAX(0,E94-Assumptions!$C$80)/1000000*Assumptions!$C$82</f>
        <v>0</v>
      </c>
      <c r="F96" s="41">
        <f>MAX(0,F93-Assumptions!$C$79)*Assumptions!$C$81+MAX(0,F94-Assumptions!$C$80)/1000000*Assumptions!$C$82</f>
        <v>0</v>
      </c>
      <c r="G96" s="41">
        <f>MAX(0,G93-Assumptions!$C$79)*Assumptions!$C$81+MAX(0,G94-Assumptions!$C$80)/1000000*Assumptions!$C$82</f>
        <v>0</v>
      </c>
      <c r="H96" s="41">
        <f>MAX(0,H93-Assumptions!$C$79)*Assumptions!$C$81+MAX(0,H94-Assumptions!$C$80)/1000000*Assumptions!$C$82</f>
        <v>0</v>
      </c>
      <c r="I96" s="41">
        <f>MAX(0,I93-Assumptions!$C$79)*Assumptions!$C$81+MAX(0,I94-Assumptions!$C$80)/1000000*Assumptions!$C$82</f>
        <v>0</v>
      </c>
      <c r="J96" s="41">
        <f>MAX(0,J93-Assumptions!$C$79)*Assumptions!$C$81+MAX(0,J94-Assumptions!$C$80)/1000000*Assumptions!$C$82</f>
        <v>0</v>
      </c>
      <c r="K96" s="41">
        <f>MAX(0,K93-Assumptions!$C$79)*Assumptions!$C$81+MAX(0,K94-Assumptions!$C$80)/1000000*Assumptions!$C$82</f>
        <v>0</v>
      </c>
      <c r="L96" s="41">
        <f>MAX(0,L93-Assumptions!$C$79)*Assumptions!$C$81+MAX(0,L94-Assumptions!$C$80)/1000000*Assumptions!$C$82</f>
        <v>0</v>
      </c>
      <c r="M96" s="41">
        <f>MAX(0,M93-Assumptions!$C$79)*Assumptions!$C$81+MAX(0,M94-Assumptions!$C$80)/1000000*Assumptions!$C$82</f>
        <v>0</v>
      </c>
      <c r="N96" s="41">
        <f>MAX(0,N93-Assumptions!$C$79)*Assumptions!$C$81+MAX(0,N94-Assumptions!$C$80)/1000000*Assumptions!$C$82</f>
        <v>0</v>
      </c>
      <c r="O96" s="41">
        <f>MAX(0,O93-Assumptions!$C$79)*Assumptions!$C$81+MAX(0,O94-Assumptions!$C$80)/1000000*Assumptions!$C$82</f>
        <v>0</v>
      </c>
      <c r="P96" s="41">
        <f>MAX(0,P93-Assumptions!$C$79)*Assumptions!$C$81+MAX(0,P94-Assumptions!$C$80)/1000000*Assumptions!$C$82</f>
        <v>0</v>
      </c>
      <c r="Q96" s="41">
        <f>MAX(0,Q93-Assumptions!$C$79)*Assumptions!$C$81+MAX(0,Q94-Assumptions!$C$80)/1000000*Assumptions!$C$82</f>
        <v>0</v>
      </c>
      <c r="R96" s="41">
        <f>MAX(0,R93-Assumptions!$C$79)*Assumptions!$C$81+MAX(0,R94-Assumptions!$C$80)/1000000*Assumptions!$C$82</f>
        <v>0</v>
      </c>
      <c r="S96" s="41">
        <f>MAX(0,S93-Assumptions!$C$79)*Assumptions!$C$81+MAX(0,S94-Assumptions!$C$80)/1000000*Assumptions!$C$82</f>
        <v>0</v>
      </c>
      <c r="T96" s="41">
        <f>MAX(0,T93-Assumptions!$C$79)*Assumptions!$C$81+MAX(0,T94-Assumptions!$C$80)/1000000*Assumptions!$C$82</f>
        <v>0</v>
      </c>
      <c r="U96" s="41">
        <f>MAX(0,U93-Assumptions!$C$79)*Assumptions!$C$81+MAX(0,U94-Assumptions!$C$80)/1000000*Assumptions!$C$82</f>
        <v>0</v>
      </c>
      <c r="V96" s="41">
        <f>MAX(0,V93-Assumptions!$C$79)*Assumptions!$C$81+MAX(0,V94-Assumptions!$C$80)/1000000*Assumptions!$C$82</f>
        <v>0</v>
      </c>
      <c r="W96" s="41">
        <f>MAX(0,W93-Assumptions!$C$79)*Assumptions!$C$81+MAX(0,W94-Assumptions!$C$80)/1000000*Assumptions!$C$82</f>
        <v>0</v>
      </c>
      <c r="X96" s="41">
        <f>MAX(0,X93-Assumptions!$C$79)*Assumptions!$C$81+MAX(0,X94-Assumptions!$C$80)/1000000*Assumptions!$C$82</f>
        <v>0</v>
      </c>
      <c r="Y96" s="41">
        <f>MAX(0,Y93-Assumptions!$C$79)*Assumptions!$C$81+MAX(0,Y94-Assumptions!$C$80)/1000000*Assumptions!$C$82</f>
        <v>0</v>
      </c>
      <c r="Z96" s="41">
        <f>MAX(0,Z93-Assumptions!$C$79)*Assumptions!$C$81+MAX(0,Z94-Assumptions!$C$80)/1000000*Assumptions!$C$82</f>
        <v>0</v>
      </c>
    </row>
    <row r="97" spans="1:26" ht="15">
      <c r="A97" s="26" t="s">
        <v>357</v>
      </c>
      <c r="B97" t="s">
        <v>96</v>
      </c>
      <c r="C97" s="36">
        <f t="shared" ref="C97:Z97" si="32">SUM(C34,C40:C42)</f>
        <v>36.260000000000005</v>
      </c>
      <c r="D97" s="36">
        <f t="shared" si="32"/>
        <v>50.668040000000005</v>
      </c>
      <c r="E97" s="36">
        <f t="shared" si="32"/>
        <v>60.188447599999996</v>
      </c>
      <c r="F97" s="36">
        <f t="shared" si="32"/>
        <v>68.6122973696</v>
      </c>
      <c r="G97" s="36">
        <f t="shared" si="32"/>
        <v>76.339910329145596</v>
      </c>
      <c r="H97" s="36">
        <f t="shared" si="32"/>
        <v>83.639261896920289</v>
      </c>
      <c r="I97" s="36">
        <f t="shared" si="32"/>
        <v>90.702966342455397</v>
      </c>
      <c r="J97" s="36">
        <f t="shared" si="32"/>
        <v>97.671003824482355</v>
      </c>
      <c r="K97" s="36">
        <f t="shared" si="32"/>
        <v>104.64664375651823</v>
      </c>
      <c r="L97" s="36">
        <f t="shared" si="32"/>
        <v>111.70760577946695</v>
      </c>
      <c r="M97" s="36">
        <f t="shared" si="32"/>
        <v>118.91388728052137</v>
      </c>
      <c r="N97" s="36">
        <f t="shared" si="32"/>
        <v>126.31325775953958</v>
      </c>
      <c r="O97" s="36">
        <f t="shared" si="32"/>
        <v>133.94512029748819</v>
      </c>
      <c r="P97" s="36">
        <f t="shared" si="32"/>
        <v>141.84323034917335</v>
      </c>
      <c r="Q97" s="36">
        <f t="shared" si="32"/>
        <v>150.03761506019299</v>
      </c>
      <c r="R97" s="36">
        <f t="shared" si="32"/>
        <v>158.55593339295001</v>
      </c>
      <c r="S97" s="36">
        <f t="shared" si="32"/>
        <v>167.42444530664301</v>
      </c>
      <c r="T97" s="36">
        <f t="shared" si="32"/>
        <v>176.66870780898313</v>
      </c>
      <c r="U97" s="36">
        <f t="shared" si="32"/>
        <v>186.31408039927874</v>
      </c>
      <c r="V97" s="36">
        <f t="shared" si="32"/>
        <v>196.38609771490385</v>
      </c>
      <c r="W97" s="36">
        <f t="shared" si="32"/>
        <v>206.91074989901131</v>
      </c>
      <c r="X97" s="36">
        <f t="shared" si="32"/>
        <v>217.91469910276533</v>
      </c>
      <c r="Y97" s="36">
        <f t="shared" si="32"/>
        <v>229.42545206361913</v>
      </c>
      <c r="Z97" s="36">
        <f t="shared" si="32"/>
        <v>241.47150277254264</v>
      </c>
    </row>
    <row r="98" spans="1:26" ht="15">
      <c r="A98" t="s">
        <v>358</v>
      </c>
      <c r="B98" t="s">
        <v>96</v>
      </c>
      <c r="C98" s="36">
        <f>SUM($C14:C14)</f>
        <v>36.26</v>
      </c>
      <c r="D98" s="36">
        <f>SUM($C14:D14)</f>
        <v>57.365839999999999</v>
      </c>
      <c r="E98" s="36">
        <f>SUM($C14:E14)</f>
        <v>79.415840000000003</v>
      </c>
      <c r="F98" s="36">
        <f>SUM($C14:F14)</f>
        <v>102.56834000000001</v>
      </c>
      <c r="G98" s="36">
        <f>SUM($C14:G14)</f>
        <v>126.87846500000001</v>
      </c>
      <c r="H98" s="36">
        <f>SUM($C14:H14)</f>
        <v>152.40409625000001</v>
      </c>
      <c r="I98" s="36">
        <f>SUM($C14:I14)</f>
        <v>179.20600906250002</v>
      </c>
      <c r="J98" s="36">
        <f>SUM($C14:J14)</f>
        <v>207.34801751562503</v>
      </c>
      <c r="K98" s="36">
        <f>SUM($C14:K14)</f>
        <v>236.89712639140629</v>
      </c>
      <c r="L98" s="36">
        <f>SUM($C14:L14)</f>
        <v>267.92369071097659</v>
      </c>
      <c r="M98" s="36">
        <f>SUM($C14:M14)</f>
        <v>300.5015832465254</v>
      </c>
      <c r="N98" s="36">
        <f>SUM($C14:N14)</f>
        <v>334.70837040885169</v>
      </c>
      <c r="O98" s="36">
        <f>SUM($C14:O14)</f>
        <v>370.62549692929429</v>
      </c>
      <c r="P98" s="36">
        <f>SUM($C14:P14)</f>
        <v>408.33847977575903</v>
      </c>
      <c r="Q98" s="36">
        <f>SUM($C14:Q14)</f>
        <v>447.93711176454696</v>
      </c>
      <c r="R98" s="36">
        <f>SUM($C14:R14)</f>
        <v>489.51567535277434</v>
      </c>
      <c r="S98" s="36">
        <f>SUM($C14:S14)</f>
        <v>533.17316712041304</v>
      </c>
      <c r="T98" s="36">
        <f>SUM($C14:T14)</f>
        <v>579.01353347643374</v>
      </c>
      <c r="U98" s="36">
        <f>SUM($C14:U14)</f>
        <v>627.1459181502554</v>
      </c>
      <c r="V98" s="36">
        <f>SUM($C14:V14)</f>
        <v>677.68492205776818</v>
      </c>
      <c r="W98" s="36">
        <f>SUM($C14:W14)</f>
        <v>730.75087616065662</v>
      </c>
      <c r="X98" s="36">
        <f>SUM($C14:X14)</f>
        <v>786.47012796868944</v>
      </c>
      <c r="Y98" s="36">
        <f>SUM($C14:Y14)</f>
        <v>844.97534236712386</v>
      </c>
      <c r="Z98" s="36">
        <f>SUM($C14:Z14)</f>
        <v>906.40581748548004</v>
      </c>
    </row>
    <row r="99" spans="1:26" ht="15">
      <c r="A99" s="26" t="s">
        <v>359</v>
      </c>
      <c r="B99" s="26" t="s">
        <v>237</v>
      </c>
      <c r="C99" s="40">
        <f>C98*Assumptions!$C$93/1024</f>
        <v>3.5410156249999999E-3</v>
      </c>
      <c r="D99" s="40">
        <f>D98*Assumptions!$C$93/1024</f>
        <v>5.6021328125000006E-3</v>
      </c>
      <c r="E99" s="40">
        <f>E98*Assumptions!$C$93/1024</f>
        <v>7.7554531250000006E-3</v>
      </c>
      <c r="F99" s="40">
        <f>F98*Assumptions!$C$93/1024</f>
        <v>1.0016439453125001E-2</v>
      </c>
      <c r="G99" s="40">
        <f>G98*Assumptions!$C$93/1024</f>
        <v>1.2390475097656251E-2</v>
      </c>
      <c r="H99" s="40">
        <f>H98*Assumptions!$C$93/1024</f>
        <v>1.4883212524414064E-2</v>
      </c>
      <c r="I99" s="40">
        <f>I98*Assumptions!$C$93/1024</f>
        <v>1.7500586822509767E-2</v>
      </c>
      <c r="J99" s="40">
        <f>J98*Assumptions!$C$93/1024</f>
        <v>2.0248829835510258E-2</v>
      </c>
      <c r="K99" s="40">
        <f>K98*Assumptions!$C$93/1024</f>
        <v>2.3134484999160772E-2</v>
      </c>
      <c r="L99" s="40">
        <f>L98*Assumptions!$C$93/1024</f>
        <v>2.6164422920993809E-2</v>
      </c>
      <c r="M99" s="40">
        <f>M98*Assumptions!$C$93/1024</f>
        <v>2.9345857738918499E-2</v>
      </c>
      <c r="N99" s="40">
        <f>N98*Assumptions!$C$93/1024</f>
        <v>3.2686364297739426E-2</v>
      </c>
      <c r="O99" s="40">
        <f>O98*Assumptions!$C$93/1024</f>
        <v>3.6193896184501397E-2</v>
      </c>
      <c r="P99" s="40">
        <f>P98*Assumptions!$C$93/1024</f>
        <v>3.9876804665601472E-2</v>
      </c>
      <c r="Q99" s="40">
        <f>Q98*Assumptions!$C$93/1024</f>
        <v>4.3743858570756543E-2</v>
      </c>
      <c r="R99" s="40">
        <f>R98*Assumptions!$C$93/1024</f>
        <v>4.7804265171169369E-2</v>
      </c>
      <c r="S99" s="40">
        <f>S98*Assumptions!$C$93/1024</f>
        <v>5.2067692101602836E-2</v>
      </c>
      <c r="T99" s="40">
        <f>T98*Assumptions!$C$93/1024</f>
        <v>5.6544290378557988E-2</v>
      </c>
      <c r="U99" s="40">
        <f>U98*Assumptions!$C$93/1024</f>
        <v>6.1244718569360881E-2</v>
      </c>
      <c r="V99" s="40">
        <f>V98*Assumptions!$C$93/1024</f>
        <v>6.6180168169703929E-2</v>
      </c>
      <c r="W99" s="40">
        <f>W98*Assumptions!$C$93/1024</f>
        <v>7.136239025006412E-2</v>
      </c>
      <c r="X99" s="40">
        <f>X98*Assumptions!$C$93/1024</f>
        <v>7.6803723434442334E-2</v>
      </c>
      <c r="Y99" s="40">
        <f>Y98*Assumptions!$C$93/1024</f>
        <v>8.251712327803945E-2</v>
      </c>
      <c r="Z99" s="40">
        <f>Z98*Assumptions!$C$93/1024</f>
        <v>8.8516193113816422E-2</v>
      </c>
    </row>
    <row r="100" spans="1:26" ht="15">
      <c r="A100" s="26" t="s">
        <v>360</v>
      </c>
      <c r="B100" s="26" t="s">
        <v>237</v>
      </c>
      <c r="C100" s="40">
        <f>C97*Assumptions!$C$94</f>
        <v>0.36260000000000003</v>
      </c>
      <c r="D100" s="40">
        <f>D97*Assumptions!$C$94</f>
        <v>0.50668040000000003</v>
      </c>
      <c r="E100" s="40">
        <f>E97*Assumptions!$C$94</f>
        <v>0.60188447599999995</v>
      </c>
      <c r="F100" s="40">
        <f>F97*Assumptions!$C$94</f>
        <v>0.68612297369600006</v>
      </c>
      <c r="G100" s="40">
        <f>G97*Assumptions!$C$94</f>
        <v>0.76339910329145599</v>
      </c>
      <c r="H100" s="40">
        <f>H97*Assumptions!$C$94</f>
        <v>0.83639261896920292</v>
      </c>
      <c r="I100" s="40">
        <f>I97*Assumptions!$C$94</f>
        <v>0.90702966342455404</v>
      </c>
      <c r="J100" s="40">
        <f>J97*Assumptions!$C$94</f>
        <v>0.97671003824482361</v>
      </c>
      <c r="K100" s="40">
        <f>K97*Assumptions!$C$94</f>
        <v>1.0464664375651824</v>
      </c>
      <c r="L100" s="40">
        <f>L97*Assumptions!$C$94</f>
        <v>1.1170760577946695</v>
      </c>
      <c r="M100" s="40">
        <f>M97*Assumptions!$C$94</f>
        <v>1.1891388728052137</v>
      </c>
      <c r="N100" s="40">
        <f>N97*Assumptions!$C$94</f>
        <v>1.2631325775953959</v>
      </c>
      <c r="O100" s="40">
        <f>O97*Assumptions!$C$94</f>
        <v>1.339451202974882</v>
      </c>
      <c r="P100" s="40">
        <f>P97*Assumptions!$C$94</f>
        <v>1.4184323034917337</v>
      </c>
      <c r="Q100" s="40">
        <f>Q97*Assumptions!$C$94</f>
        <v>1.50037615060193</v>
      </c>
      <c r="R100" s="40">
        <f>R97*Assumptions!$C$94</f>
        <v>1.5855593339295002</v>
      </c>
      <c r="S100" s="40">
        <f>S97*Assumptions!$C$94</f>
        <v>1.6742444530664302</v>
      </c>
      <c r="T100" s="40">
        <f>T97*Assumptions!$C$94</f>
        <v>1.7666870780898314</v>
      </c>
      <c r="U100" s="40">
        <f>U97*Assumptions!$C$94</f>
        <v>1.8631408039927875</v>
      </c>
      <c r="V100" s="40">
        <f>V97*Assumptions!$C$94</f>
        <v>1.9638609771490385</v>
      </c>
      <c r="W100" s="40">
        <f>W97*Assumptions!$C$94</f>
        <v>2.069107498990113</v>
      </c>
      <c r="X100" s="40">
        <f>X97*Assumptions!$C$94</f>
        <v>2.1791469910276535</v>
      </c>
      <c r="Y100" s="40">
        <f>Y97*Assumptions!$C$94</f>
        <v>2.2942545206361915</v>
      </c>
      <c r="Z100" s="40">
        <f>Z97*Assumptions!$C$94</f>
        <v>2.4147150277254266</v>
      </c>
    </row>
    <row r="101" spans="1:26" ht="15">
      <c r="A101" s="26" t="s">
        <v>361</v>
      </c>
      <c r="B101" s="26" t="s">
        <v>237</v>
      </c>
      <c r="C101" s="40">
        <f>C98*Assumptions!$C$95</f>
        <v>3.6260000000000001E-2</v>
      </c>
      <c r="D101" s="40">
        <f>D98*Assumptions!$C$95</f>
        <v>5.7365840000000001E-2</v>
      </c>
      <c r="E101" s="40">
        <f>E98*Assumptions!$C$95</f>
        <v>7.9415840000000001E-2</v>
      </c>
      <c r="F101" s="40">
        <f>F98*Assumptions!$C$95</f>
        <v>0.10256834000000001</v>
      </c>
      <c r="G101" s="40">
        <f>G98*Assumptions!$C$95</f>
        <v>0.126878465</v>
      </c>
      <c r="H101" s="40">
        <f>H98*Assumptions!$C$95</f>
        <v>0.15240409625000001</v>
      </c>
      <c r="I101" s="40">
        <f>I98*Assumptions!$C$95</f>
        <v>0.17920600906250003</v>
      </c>
      <c r="J101" s="40">
        <f>J98*Assumptions!$C$95</f>
        <v>0.20734801751562504</v>
      </c>
      <c r="K101" s="40">
        <f>K98*Assumptions!$C$95</f>
        <v>0.23689712639140628</v>
      </c>
      <c r="L101" s="40">
        <f>L98*Assumptions!$C$95</f>
        <v>0.2679236907109766</v>
      </c>
      <c r="M101" s="40">
        <f>M98*Assumptions!$C$95</f>
        <v>0.30050158324652543</v>
      </c>
      <c r="N101" s="40">
        <f>N98*Assumptions!$C$95</f>
        <v>0.33470837040885171</v>
      </c>
      <c r="O101" s="40">
        <f>O98*Assumptions!$C$95</f>
        <v>0.37062549692929431</v>
      </c>
      <c r="P101" s="40">
        <f>P98*Assumptions!$C$95</f>
        <v>0.40833847977575904</v>
      </c>
      <c r="Q101" s="40">
        <f>Q98*Assumptions!$C$95</f>
        <v>0.44793711176454698</v>
      </c>
      <c r="R101" s="40">
        <f>R98*Assumptions!$C$95</f>
        <v>0.48951567535277435</v>
      </c>
      <c r="S101" s="40">
        <f>S98*Assumptions!$C$95</f>
        <v>0.53317316712041307</v>
      </c>
      <c r="T101" s="40">
        <f>T98*Assumptions!$C$95</f>
        <v>0.57901353347643369</v>
      </c>
      <c r="U101" s="40">
        <f>U98*Assumptions!$C$95</f>
        <v>0.62714591815025544</v>
      </c>
      <c r="V101" s="40">
        <f>V98*Assumptions!$C$95</f>
        <v>0.6776849220577682</v>
      </c>
      <c r="W101" s="40">
        <f>W98*Assumptions!$C$95</f>
        <v>0.73075087616065659</v>
      </c>
      <c r="X101" s="40">
        <f>X98*Assumptions!$C$95</f>
        <v>0.78647012796868943</v>
      </c>
      <c r="Y101" s="40">
        <f>Y98*Assumptions!$C$95</f>
        <v>0.8449753423671239</v>
      </c>
      <c r="Z101" s="40">
        <f>Z98*Assumptions!$C$95</f>
        <v>0.9064058174854801</v>
      </c>
    </row>
    <row r="102" spans="1:26" ht="15">
      <c r="A102" s="26" t="s">
        <v>362</v>
      </c>
      <c r="B102" s="26" t="s">
        <v>225</v>
      </c>
      <c r="C102" s="38">
        <f>IF(OR(C97&gt;Assumptions!$C$85,C99&gt;Assumptions!$C$86,C100&gt;Assumptions!$C$87,C101&gt;Assumptions!$C$88),1,0)</f>
        <v>0</v>
      </c>
      <c r="D102" s="38">
        <f>MAX(C102,IF(OR(D97&gt;Assumptions!$C$85,D99&gt;Assumptions!$C$86,D100&gt;Assumptions!$C$87,D101&gt;Assumptions!$C$88),1,0))</f>
        <v>0</v>
      </c>
      <c r="E102" s="38">
        <f>MAX(D102,IF(OR(E97&gt;Assumptions!$C$85,E99&gt;Assumptions!$C$86,E100&gt;Assumptions!$C$87,E101&gt;Assumptions!$C$88),1,0))</f>
        <v>0</v>
      </c>
      <c r="F102" s="38">
        <f>MAX(E102,IF(OR(F97&gt;Assumptions!$C$85,F99&gt;Assumptions!$C$86,F100&gt;Assumptions!$C$87,F101&gt;Assumptions!$C$88),1,0))</f>
        <v>0</v>
      </c>
      <c r="G102" s="38">
        <f>MAX(F102,IF(OR(G97&gt;Assumptions!$C$85,G99&gt;Assumptions!$C$86,G100&gt;Assumptions!$C$87,G101&gt;Assumptions!$C$88),1,0))</f>
        <v>0</v>
      </c>
      <c r="H102" s="38">
        <f>MAX(G102,IF(OR(H97&gt;Assumptions!$C$85,H99&gt;Assumptions!$C$86,H100&gt;Assumptions!$C$87,H101&gt;Assumptions!$C$88),1,0))</f>
        <v>0</v>
      </c>
      <c r="I102" s="38">
        <f>MAX(H102,IF(OR(I97&gt;Assumptions!$C$85,I99&gt;Assumptions!$C$86,I100&gt;Assumptions!$C$87,I101&gt;Assumptions!$C$88),1,0))</f>
        <v>0</v>
      </c>
      <c r="J102" s="38">
        <f>MAX(I102,IF(OR(J97&gt;Assumptions!$C$85,J99&gt;Assumptions!$C$86,J100&gt;Assumptions!$C$87,J101&gt;Assumptions!$C$88),1,0))</f>
        <v>0</v>
      </c>
      <c r="K102" s="38">
        <f>MAX(J102,IF(OR(K97&gt;Assumptions!$C$85,K99&gt;Assumptions!$C$86,K100&gt;Assumptions!$C$87,K101&gt;Assumptions!$C$88),1,0))</f>
        <v>0</v>
      </c>
      <c r="L102" s="38">
        <f>MAX(K102,IF(OR(L97&gt;Assumptions!$C$85,L99&gt;Assumptions!$C$86,L100&gt;Assumptions!$C$87,L101&gt;Assumptions!$C$88),1,0))</f>
        <v>0</v>
      </c>
      <c r="M102" s="38">
        <f>MAX(L102,IF(OR(M97&gt;Assumptions!$C$85,M99&gt;Assumptions!$C$86,M100&gt;Assumptions!$C$87,M101&gt;Assumptions!$C$88),1,0))</f>
        <v>0</v>
      </c>
      <c r="N102" s="38">
        <f>MAX(M102,IF(OR(N97&gt;Assumptions!$C$85,N99&gt;Assumptions!$C$86,N100&gt;Assumptions!$C$87,N101&gt;Assumptions!$C$88),1,0))</f>
        <v>0</v>
      </c>
      <c r="O102" s="38">
        <f>MAX(N102,IF(OR(O97&gt;Assumptions!$C$85,O99&gt;Assumptions!$C$86,O100&gt;Assumptions!$C$87,O101&gt;Assumptions!$C$88),1,0))</f>
        <v>0</v>
      </c>
      <c r="P102" s="38">
        <f>MAX(O102,IF(OR(P97&gt;Assumptions!$C$85,P99&gt;Assumptions!$C$86,P100&gt;Assumptions!$C$87,P101&gt;Assumptions!$C$88),1,0))</f>
        <v>0</v>
      </c>
      <c r="Q102" s="38">
        <f>MAX(P102,IF(OR(Q97&gt;Assumptions!$C$85,Q99&gt;Assumptions!$C$86,Q100&gt;Assumptions!$C$87,Q101&gt;Assumptions!$C$88),1,0))</f>
        <v>0</v>
      </c>
      <c r="R102" s="38">
        <f>MAX(Q102,IF(OR(R97&gt;Assumptions!$C$85,R99&gt;Assumptions!$C$86,R100&gt;Assumptions!$C$87,R101&gt;Assumptions!$C$88),1,0))</f>
        <v>0</v>
      </c>
      <c r="S102" s="38">
        <f>MAX(R102,IF(OR(S97&gt;Assumptions!$C$85,S99&gt;Assumptions!$C$86,S100&gt;Assumptions!$C$87,S101&gt;Assumptions!$C$88),1,0))</f>
        <v>0</v>
      </c>
      <c r="T102" s="38">
        <f>MAX(S102,IF(OR(T97&gt;Assumptions!$C$85,T99&gt;Assumptions!$C$86,T100&gt;Assumptions!$C$87,T101&gt;Assumptions!$C$88),1,0))</f>
        <v>0</v>
      </c>
      <c r="U102" s="38">
        <f>MAX(T102,IF(OR(U97&gt;Assumptions!$C$85,U99&gt;Assumptions!$C$86,U100&gt;Assumptions!$C$87,U101&gt;Assumptions!$C$88),1,0))</f>
        <v>0</v>
      </c>
      <c r="V102" s="38">
        <f>MAX(U102,IF(OR(V97&gt;Assumptions!$C$85,V99&gt;Assumptions!$C$86,V100&gt;Assumptions!$C$87,V101&gt;Assumptions!$C$88),1,0))</f>
        <v>0</v>
      </c>
      <c r="W102" s="38">
        <f>MAX(V102,IF(OR(W97&gt;Assumptions!$C$85,W99&gt;Assumptions!$C$86,W100&gt;Assumptions!$C$87,W101&gt;Assumptions!$C$88),1,0))</f>
        <v>0</v>
      </c>
      <c r="X102" s="38">
        <f>MAX(W102,IF(OR(X97&gt;Assumptions!$C$85,X99&gt;Assumptions!$C$86,X100&gt;Assumptions!$C$87,X101&gt;Assumptions!$C$88),1,0))</f>
        <v>0</v>
      </c>
      <c r="Y102" s="38">
        <f>MAX(X102,IF(OR(Y97&gt;Assumptions!$C$85,Y99&gt;Assumptions!$C$86,Y100&gt;Assumptions!$C$87,Y101&gt;Assumptions!$C$88),1,0))</f>
        <v>0</v>
      </c>
      <c r="Z102" s="38">
        <f>MAX(Y102,IF(OR(Z97&gt;Assumptions!$C$85,Z99&gt;Assumptions!$C$86,Z100&gt;Assumptions!$C$87,Z101&gt;Assumptions!$C$88),1,0))</f>
        <v>0</v>
      </c>
    </row>
    <row r="103" spans="1:26" ht="15">
      <c r="A103" s="26" t="s">
        <v>363</v>
      </c>
      <c r="B103" s="26" t="s">
        <v>163</v>
      </c>
      <c r="C103" s="41">
        <f>MAX(0,C97-Assumptions!$C$89)*Assumptions!$C$61+MAX(0,C99-Assumptions!$C$90)*Assumptions!$C$96+MAX(0,C100-Assumptions!$C$91)*Assumptions!$C$97+MAX(0,C101-Assumptions!$C$92)*Assumptions!$C$98</f>
        <v>0</v>
      </c>
      <c r="D103" s="41">
        <f>MAX(0,D97-Assumptions!$C$89)*Assumptions!$C$61+MAX(0,D99-Assumptions!$C$90)*Assumptions!$C$96+MAX(0,D100-Assumptions!$C$91)*Assumptions!$C$97+MAX(0,D101-Assumptions!$C$92)*Assumptions!$C$98</f>
        <v>0</v>
      </c>
      <c r="E103" s="41">
        <f>MAX(0,E97-Assumptions!$C$89)*Assumptions!$C$61+MAX(0,E99-Assumptions!$C$90)*Assumptions!$C$96+MAX(0,E100-Assumptions!$C$91)*Assumptions!$C$97+MAX(0,E101-Assumptions!$C$92)*Assumptions!$C$98</f>
        <v>0</v>
      </c>
      <c r="F103" s="41">
        <f>MAX(0,F97-Assumptions!$C$89)*Assumptions!$C$61+MAX(0,F99-Assumptions!$C$90)*Assumptions!$C$96+MAX(0,F100-Assumptions!$C$91)*Assumptions!$C$97+MAX(0,F101-Assumptions!$C$92)*Assumptions!$C$98</f>
        <v>0</v>
      </c>
      <c r="G103" s="41">
        <f>MAX(0,G97-Assumptions!$C$89)*Assumptions!$C$61+MAX(0,G99-Assumptions!$C$90)*Assumptions!$C$96+MAX(0,G100-Assumptions!$C$91)*Assumptions!$C$97+MAX(0,G101-Assumptions!$C$92)*Assumptions!$C$98</f>
        <v>0</v>
      </c>
      <c r="H103" s="41">
        <f>MAX(0,H97-Assumptions!$C$89)*Assumptions!$C$61+MAX(0,H99-Assumptions!$C$90)*Assumptions!$C$96+MAX(0,H100-Assumptions!$C$91)*Assumptions!$C$97+MAX(0,H101-Assumptions!$C$92)*Assumptions!$C$98</f>
        <v>0</v>
      </c>
      <c r="I103" s="41">
        <f>MAX(0,I97-Assumptions!$C$89)*Assumptions!$C$61+MAX(0,I99-Assumptions!$C$90)*Assumptions!$C$96+MAX(0,I100-Assumptions!$C$91)*Assumptions!$C$97+MAX(0,I101-Assumptions!$C$92)*Assumptions!$C$98</f>
        <v>0</v>
      </c>
      <c r="J103" s="41">
        <f>MAX(0,J97-Assumptions!$C$89)*Assumptions!$C$61+MAX(0,J99-Assumptions!$C$90)*Assumptions!$C$96+MAX(0,J100-Assumptions!$C$91)*Assumptions!$C$97+MAX(0,J101-Assumptions!$C$92)*Assumptions!$C$98</f>
        <v>0</v>
      </c>
      <c r="K103" s="41">
        <f>MAX(0,K97-Assumptions!$C$89)*Assumptions!$C$61+MAX(0,K99-Assumptions!$C$90)*Assumptions!$C$96+MAX(0,K100-Assumptions!$C$91)*Assumptions!$C$97+MAX(0,K101-Assumptions!$C$92)*Assumptions!$C$98</f>
        <v>0</v>
      </c>
      <c r="L103" s="41">
        <f>MAX(0,L97-Assumptions!$C$89)*Assumptions!$C$61+MAX(0,L99-Assumptions!$C$90)*Assumptions!$C$96+MAX(0,L100-Assumptions!$C$91)*Assumptions!$C$97+MAX(0,L101-Assumptions!$C$92)*Assumptions!$C$98</f>
        <v>0</v>
      </c>
      <c r="M103" s="41">
        <f>MAX(0,M97-Assumptions!$C$89)*Assumptions!$C$61+MAX(0,M99-Assumptions!$C$90)*Assumptions!$C$96+MAX(0,M100-Assumptions!$C$91)*Assumptions!$C$97+MAX(0,M101-Assumptions!$C$92)*Assumptions!$C$98</f>
        <v>0</v>
      </c>
      <c r="N103" s="41">
        <f>MAX(0,N97-Assumptions!$C$89)*Assumptions!$C$61+MAX(0,N99-Assumptions!$C$90)*Assumptions!$C$96+MAX(0,N100-Assumptions!$C$91)*Assumptions!$C$97+MAX(0,N101-Assumptions!$C$92)*Assumptions!$C$98</f>
        <v>0</v>
      </c>
      <c r="O103" s="41">
        <f>MAX(0,O97-Assumptions!$C$89)*Assumptions!$C$61+MAX(0,O99-Assumptions!$C$90)*Assumptions!$C$96+MAX(0,O100-Assumptions!$C$91)*Assumptions!$C$97+MAX(0,O101-Assumptions!$C$92)*Assumptions!$C$98</f>
        <v>0</v>
      </c>
      <c r="P103" s="41">
        <f>MAX(0,P97-Assumptions!$C$89)*Assumptions!$C$61+MAX(0,P99-Assumptions!$C$90)*Assumptions!$C$96+MAX(0,P100-Assumptions!$C$91)*Assumptions!$C$97+MAX(0,P101-Assumptions!$C$92)*Assumptions!$C$98</f>
        <v>0</v>
      </c>
      <c r="Q103" s="41">
        <f>MAX(0,Q97-Assumptions!$C$89)*Assumptions!$C$61+MAX(0,Q99-Assumptions!$C$90)*Assumptions!$C$96+MAX(0,Q100-Assumptions!$C$91)*Assumptions!$C$97+MAX(0,Q101-Assumptions!$C$92)*Assumptions!$C$98</f>
        <v>0</v>
      </c>
      <c r="R103" s="41">
        <f>MAX(0,R97-Assumptions!$C$89)*Assumptions!$C$61+MAX(0,R99-Assumptions!$C$90)*Assumptions!$C$96+MAX(0,R100-Assumptions!$C$91)*Assumptions!$C$97+MAX(0,R101-Assumptions!$C$92)*Assumptions!$C$98</f>
        <v>0</v>
      </c>
      <c r="S103" s="41">
        <f>MAX(0,S97-Assumptions!$C$89)*Assumptions!$C$61+MAX(0,S99-Assumptions!$C$90)*Assumptions!$C$96+MAX(0,S100-Assumptions!$C$91)*Assumptions!$C$97+MAX(0,S101-Assumptions!$C$92)*Assumptions!$C$98</f>
        <v>0</v>
      </c>
      <c r="T103" s="41">
        <f>MAX(0,T97-Assumptions!$C$89)*Assumptions!$C$61+MAX(0,T99-Assumptions!$C$90)*Assumptions!$C$96+MAX(0,T100-Assumptions!$C$91)*Assumptions!$C$97+MAX(0,T101-Assumptions!$C$92)*Assumptions!$C$98</f>
        <v>0</v>
      </c>
      <c r="U103" s="41">
        <f>MAX(0,U97-Assumptions!$C$89)*Assumptions!$C$61+MAX(0,U99-Assumptions!$C$90)*Assumptions!$C$96+MAX(0,U100-Assumptions!$C$91)*Assumptions!$C$97+MAX(0,U101-Assumptions!$C$92)*Assumptions!$C$98</f>
        <v>0</v>
      </c>
      <c r="V103" s="41">
        <f>MAX(0,V97-Assumptions!$C$89)*Assumptions!$C$61+MAX(0,V99-Assumptions!$C$90)*Assumptions!$C$96+MAX(0,V100-Assumptions!$C$91)*Assumptions!$C$97+MAX(0,V101-Assumptions!$C$92)*Assumptions!$C$98</f>
        <v>0</v>
      </c>
      <c r="W103" s="41">
        <f>MAX(0,W97-Assumptions!$C$89)*Assumptions!$C$61+MAX(0,W99-Assumptions!$C$90)*Assumptions!$C$96+MAX(0,W100-Assumptions!$C$91)*Assumptions!$C$97+MAX(0,W101-Assumptions!$C$92)*Assumptions!$C$98</f>
        <v>0</v>
      </c>
      <c r="X103" s="41">
        <f>MAX(0,X97-Assumptions!$C$89)*Assumptions!$C$61+MAX(0,X99-Assumptions!$C$90)*Assumptions!$C$96+MAX(0,X100-Assumptions!$C$91)*Assumptions!$C$97+MAX(0,X101-Assumptions!$C$92)*Assumptions!$C$98</f>
        <v>0</v>
      </c>
      <c r="Y103" s="41">
        <f>MAX(0,Y97-Assumptions!$C$89)*Assumptions!$C$61+MAX(0,Y99-Assumptions!$C$90)*Assumptions!$C$96+MAX(0,Y100-Assumptions!$C$91)*Assumptions!$C$97+MAX(0,Y101-Assumptions!$C$92)*Assumptions!$C$98</f>
        <v>0</v>
      </c>
      <c r="Z103" s="41">
        <f>MAX(0,Z97-Assumptions!$C$89)*Assumptions!$C$61+MAX(0,Z99-Assumptions!$C$90)*Assumptions!$C$96+MAX(0,Z100-Assumptions!$C$91)*Assumptions!$C$97+MAX(0,Z101-Assumptions!$C$92)*Assumptions!$C$98</f>
        <v>0</v>
      </c>
    </row>
  </sheetData>
  <phoneticPr fontId="3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5"/>
  <sheetViews>
    <sheetView showGridLines="0" workbookViewId="0">
      <pane ySplit="4" topLeftCell="A5" activePane="bottomLeft" state="frozen"/>
      <selection pane="bottomLeft"/>
    </sheetView>
  </sheetViews>
  <sheetFormatPr baseColWidth="10" defaultColWidth="10.59765625" defaultRowHeight="13"/>
  <cols>
    <col min="1" max="1" width="10" customWidth="1"/>
    <col min="2" max="2" width="45.19921875" customWidth="1"/>
    <col min="3" max="3" width="50.3984375" customWidth="1"/>
    <col min="4" max="4" width="78.19921875" customWidth="1"/>
    <col min="5" max="26" width="14.3984375" customWidth="1"/>
  </cols>
  <sheetData>
    <row r="1" spans="1:26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>
      <c r="A2" s="2" t="s">
        <v>364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>
      <c r="A3" s="3"/>
      <c r="B3" s="3"/>
      <c r="C3" s="3"/>
      <c r="D3" s="3"/>
      <c r="E3" s="3"/>
      <c r="F3" s="3"/>
      <c r="G3" s="3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>
      <c r="A4" s="6" t="s">
        <v>365</v>
      </c>
      <c r="B4" s="5" t="s">
        <v>366</v>
      </c>
      <c r="C4" s="5" t="s">
        <v>367</v>
      </c>
      <c r="D4" s="5" t="s">
        <v>368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4.5" customHeight="1">
      <c r="A5" s="11" t="s">
        <v>77</v>
      </c>
      <c r="B5" s="1" t="s">
        <v>369</v>
      </c>
      <c r="C5" s="33" t="s">
        <v>458</v>
      </c>
      <c r="D5" s="34" t="s">
        <v>370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4.5" customHeight="1">
      <c r="A6" s="11" t="s">
        <v>185</v>
      </c>
      <c r="B6" s="11" t="s">
        <v>371</v>
      </c>
      <c r="C6" s="33" t="s">
        <v>372</v>
      </c>
      <c r="D6" s="33" t="s">
        <v>373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4.5" customHeight="1">
      <c r="A7" s="11" t="s">
        <v>190</v>
      </c>
      <c r="B7" s="11" t="s">
        <v>374</v>
      </c>
      <c r="C7" s="33" t="s">
        <v>375</v>
      </c>
      <c r="D7" s="33" t="s">
        <v>376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4.5" customHeight="1">
      <c r="A8" s="11" t="s">
        <v>165</v>
      </c>
      <c r="B8" s="11" t="s">
        <v>377</v>
      </c>
      <c r="C8" s="34" t="s">
        <v>378</v>
      </c>
      <c r="D8" s="33" t="s">
        <v>379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4.5" customHeight="1">
      <c r="A9" s="11" t="s">
        <v>170</v>
      </c>
      <c r="B9" s="11" t="s">
        <v>380</v>
      </c>
      <c r="C9" s="34" t="s">
        <v>381</v>
      </c>
      <c r="D9" s="33" t="s">
        <v>382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4.5" customHeight="1">
      <c r="A10" s="11" t="s">
        <v>174</v>
      </c>
      <c r="B10" s="11" t="s">
        <v>383</v>
      </c>
      <c r="C10" s="34" t="s">
        <v>384</v>
      </c>
      <c r="D10" s="33" t="s">
        <v>385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4.5" customHeight="1">
      <c r="A11" s="11" t="s">
        <v>198</v>
      </c>
      <c r="B11" s="1" t="s">
        <v>386</v>
      </c>
      <c r="C11" s="34" t="s">
        <v>387</v>
      </c>
      <c r="D11" s="33" t="s">
        <v>388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4.5" customHeight="1">
      <c r="A12" s="11" t="s">
        <v>389</v>
      </c>
      <c r="B12" s="1" t="s">
        <v>390</v>
      </c>
      <c r="C12" s="34" t="s">
        <v>391</v>
      </c>
      <c r="D12" s="33" t="s">
        <v>392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4.5" customHeight="1">
      <c r="A13" s="11" t="s">
        <v>214</v>
      </c>
      <c r="B13" s="1" t="s">
        <v>393</v>
      </c>
      <c r="C13" s="34" t="s">
        <v>394</v>
      </c>
      <c r="D13" s="33" t="s">
        <v>395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4.5" customHeight="1">
      <c r="A14" s="11" t="s">
        <v>218</v>
      </c>
      <c r="B14" s="1" t="s">
        <v>396</v>
      </c>
      <c r="C14" s="34" t="s">
        <v>397</v>
      </c>
      <c r="D14" s="33" t="s">
        <v>398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4.5" customHeight="1">
      <c r="A15" s="11" t="s">
        <v>109</v>
      </c>
      <c r="B15" s="11" t="s">
        <v>399</v>
      </c>
      <c r="C15" s="33" t="s">
        <v>400</v>
      </c>
      <c r="D15" s="33" t="s">
        <v>401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4.5" customHeight="1">
      <c r="A16" s="11" t="s">
        <v>125</v>
      </c>
      <c r="B16" s="11" t="s">
        <v>402</v>
      </c>
      <c r="C16" s="33" t="s">
        <v>403</v>
      </c>
      <c r="D16" s="33" t="s">
        <v>404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4.5" customHeight="1">
      <c r="A17" s="11" t="s">
        <v>112</v>
      </c>
      <c r="B17" s="11" t="s">
        <v>405</v>
      </c>
      <c r="C17" s="34" t="s">
        <v>406</v>
      </c>
      <c r="D17" s="33" t="s">
        <v>407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4.5" customHeight="1">
      <c r="A18" s="11" t="s">
        <v>98</v>
      </c>
      <c r="B18" s="1" t="s">
        <v>408</v>
      </c>
      <c r="C18" s="34" t="s">
        <v>409</v>
      </c>
      <c r="D18" s="34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>
      <c r="A20" s="1" t="s">
        <v>410</v>
      </c>
      <c r="B20" s="11" t="s">
        <v>411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>
      <c r="A21" s="1"/>
      <c r="B21" s="11" t="s">
        <v>412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>
      <c r="A22" s="1"/>
      <c r="B22" s="11" t="s">
        <v>413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>
      <c r="A24" s="1"/>
      <c r="B24" s="1" t="s">
        <v>414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>
      <c r="A26" s="11" t="s">
        <v>415</v>
      </c>
      <c r="B26" s="11" t="s">
        <v>416</v>
      </c>
      <c r="C26" s="11" t="s">
        <v>417</v>
      </c>
      <c r="D26" s="11" t="s">
        <v>418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>
      <c r="A27" s="11" t="s">
        <v>419</v>
      </c>
      <c r="B27" s="11" t="s">
        <v>420</v>
      </c>
      <c r="C27" s="1" t="s">
        <v>421</v>
      </c>
      <c r="D27" s="11" t="s">
        <v>422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>
      <c r="A28" s="11" t="s">
        <v>423</v>
      </c>
      <c r="B28" s="11" t="s">
        <v>424</v>
      </c>
      <c r="C28" s="1" t="s">
        <v>425</v>
      </c>
      <c r="D28" s="11" t="s">
        <v>376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>
      <c r="A29" s="11" t="s">
        <v>98</v>
      </c>
      <c r="B29" s="1" t="s">
        <v>426</v>
      </c>
      <c r="C29" s="1" t="s">
        <v>427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>
      <c r="A30" s="1" t="s">
        <v>98</v>
      </c>
      <c r="B30" s="1" t="s">
        <v>459</v>
      </c>
      <c r="C30" s="1" t="s">
        <v>460</v>
      </c>
      <c r="D30" s="1" t="s">
        <v>461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</sheetData>
  <phoneticPr fontId="3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Overview</vt:lpstr>
      <vt:lpstr>Assumptions</vt:lpstr>
      <vt:lpstr>Monthly Model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이기욱</cp:lastModifiedBy>
  <dcterms:modified xsi:type="dcterms:W3CDTF">2026-09-26T07:05:28Z</dcterms:modified>
</cp:coreProperties>
</file>