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giwook/Documents/lecture-summary/lecture-notes-extension/outputs/01a0cd71-702b-7ed0-a5c2-471051ff860b/"/>
    </mc:Choice>
  </mc:AlternateContent>
  <xr:revisionPtr revIDLastSave="0" documentId="13_ncr:1_{74522F23-7387-D44E-93AF-65C146945DF2}" xr6:coauthVersionLast="47" xr6:coauthVersionMax="47" xr10:uidLastSave="{00000000-0000-0000-0000-000000000000}"/>
  <bookViews>
    <workbookView xWindow="4540" yWindow="600" windowWidth="23040" windowHeight="17400" activeTab="1" xr2:uid="{00000000-000D-0000-FFFF-FFFF00000000}"/>
  </bookViews>
  <sheets>
    <sheet name="Overview" sheetId="1" r:id="rId1"/>
    <sheet name="Assumptions" sheetId="2" r:id="rId2"/>
    <sheet name="Monthly Model" sheetId="3" r:id="rId3"/>
    <sheet name="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3" l="1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C44" i="3"/>
  <c r="Z42" i="3"/>
  <c r="Z58" i="3" s="1"/>
  <c r="Y42" i="3"/>
  <c r="Y58" i="3" s="1"/>
  <c r="X42" i="3"/>
  <c r="X58" i="3" s="1"/>
  <c r="W42" i="3"/>
  <c r="W58" i="3" s="1"/>
  <c r="V42" i="3"/>
  <c r="V58" i="3" s="1"/>
  <c r="U42" i="3"/>
  <c r="U58" i="3" s="1"/>
  <c r="T42" i="3"/>
  <c r="T58" i="3" s="1"/>
  <c r="S42" i="3"/>
  <c r="S58" i="3" s="1"/>
  <c r="R42" i="3"/>
  <c r="R58" i="3" s="1"/>
  <c r="Q42" i="3"/>
  <c r="Q48" i="3" s="1"/>
  <c r="P42" i="3"/>
  <c r="P48" i="3" s="1"/>
  <c r="O42" i="3"/>
  <c r="O48" i="3" s="1"/>
  <c r="N42" i="3"/>
  <c r="N58" i="3" s="1"/>
  <c r="M42" i="3"/>
  <c r="M58" i="3" s="1"/>
  <c r="L42" i="3"/>
  <c r="L58" i="3" s="1"/>
  <c r="K42" i="3"/>
  <c r="K58" i="3" s="1"/>
  <c r="J42" i="3"/>
  <c r="J58" i="3" s="1"/>
  <c r="I42" i="3"/>
  <c r="I58" i="3" s="1"/>
  <c r="H42" i="3"/>
  <c r="H58" i="3" s="1"/>
  <c r="G42" i="3"/>
  <c r="G58" i="3" s="1"/>
  <c r="F42" i="3"/>
  <c r="F58" i="3" s="1"/>
  <c r="E42" i="3"/>
  <c r="E58" i="3" s="1"/>
  <c r="D42" i="3"/>
  <c r="D58" i="3" s="1"/>
  <c r="C37" i="3"/>
  <c r="C35" i="3"/>
  <c r="C39" i="3" s="1"/>
  <c r="C24" i="3"/>
  <c r="C23" i="3"/>
  <c r="C26" i="3" s="1"/>
  <c r="C22" i="3"/>
  <c r="C25" i="3" s="1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C20" i="3"/>
  <c r="C19" i="3"/>
  <c r="C18" i="3"/>
  <c r="C10" i="3"/>
  <c r="C43" i="3" s="1"/>
  <c r="Z9" i="3"/>
  <c r="Z13" i="3" s="1"/>
  <c r="Y9" i="3"/>
  <c r="Y13" i="3" s="1"/>
  <c r="X9" i="3"/>
  <c r="X13" i="3" s="1"/>
  <c r="W9" i="3"/>
  <c r="W13" i="3" s="1"/>
  <c r="V9" i="3"/>
  <c r="V13" i="3" s="1"/>
  <c r="U9" i="3"/>
  <c r="U13" i="3" s="1"/>
  <c r="V18" i="3" s="1"/>
  <c r="T9" i="3"/>
  <c r="T13" i="3" s="1"/>
  <c r="S9" i="3"/>
  <c r="S13" i="3" s="1"/>
  <c r="R9" i="3"/>
  <c r="R13" i="3" s="1"/>
  <c r="Q9" i="3"/>
  <c r="Q13" i="3" s="1"/>
  <c r="P9" i="3"/>
  <c r="P13" i="3" s="1"/>
  <c r="O9" i="3"/>
  <c r="O13" i="3" s="1"/>
  <c r="N9" i="3"/>
  <c r="N13" i="3" s="1"/>
  <c r="M9" i="3"/>
  <c r="M13" i="3" s="1"/>
  <c r="N18" i="3" s="1"/>
  <c r="L9" i="3"/>
  <c r="L13" i="3" s="1"/>
  <c r="K9" i="3"/>
  <c r="K13" i="3" s="1"/>
  <c r="J9" i="3"/>
  <c r="J13" i="3" s="1"/>
  <c r="I9" i="3"/>
  <c r="I13" i="3" s="1"/>
  <c r="H9" i="3"/>
  <c r="H13" i="3" s="1"/>
  <c r="G9" i="3"/>
  <c r="G13" i="3" s="1"/>
  <c r="F9" i="3"/>
  <c r="F13" i="3" s="1"/>
  <c r="E9" i="3"/>
  <c r="E13" i="3" s="1"/>
  <c r="F18" i="3" s="1"/>
  <c r="D9" i="3"/>
  <c r="D13" i="3" s="1"/>
  <c r="C9" i="3"/>
  <c r="C13" i="3" s="1"/>
  <c r="Y8" i="3"/>
  <c r="X8" i="3"/>
  <c r="Y7" i="3"/>
  <c r="X7" i="3"/>
  <c r="W7" i="3"/>
  <c r="W8" i="3" s="1"/>
  <c r="V7" i="3"/>
  <c r="R7" i="3"/>
  <c r="Q7" i="3"/>
  <c r="Q8" i="3" s="1"/>
  <c r="J7" i="3"/>
  <c r="J8" i="3" s="1"/>
  <c r="I7" i="3"/>
  <c r="I8" i="3" s="1"/>
  <c r="H7" i="3"/>
  <c r="G7" i="3"/>
  <c r="Z6" i="3"/>
  <c r="Z7" i="3" s="1"/>
  <c r="Z8" i="3" s="1"/>
  <c r="Y6" i="3"/>
  <c r="X6" i="3"/>
  <c r="W6" i="3"/>
  <c r="V6" i="3"/>
  <c r="U6" i="3"/>
  <c r="U7" i="3" s="1"/>
  <c r="T6" i="3"/>
  <c r="T7" i="3" s="1"/>
  <c r="S6" i="3"/>
  <c r="S7" i="3" s="1"/>
  <c r="R6" i="3"/>
  <c r="Q6" i="3"/>
  <c r="P6" i="3"/>
  <c r="P7" i="3" s="1"/>
  <c r="P8" i="3" s="1"/>
  <c r="O6" i="3"/>
  <c r="O7" i="3" s="1"/>
  <c r="O8" i="3" s="1"/>
  <c r="N6" i="3"/>
  <c r="N7" i="3" s="1"/>
  <c r="M6" i="3"/>
  <c r="M7" i="3" s="1"/>
  <c r="L6" i="3"/>
  <c r="L7" i="3" s="1"/>
  <c r="K6" i="3"/>
  <c r="K7" i="3" s="1"/>
  <c r="J6" i="3"/>
  <c r="I6" i="3"/>
  <c r="H6" i="3"/>
  <c r="G6" i="3"/>
  <c r="F6" i="3"/>
  <c r="F7" i="3" s="1"/>
  <c r="E6" i="3"/>
  <c r="E7" i="3" s="1"/>
  <c r="D6" i="3"/>
  <c r="D7" i="3" s="1"/>
  <c r="C6" i="3"/>
  <c r="C7" i="3" s="1"/>
  <c r="H10" i="2"/>
  <c r="C21" i="3" l="1"/>
  <c r="C30" i="3" s="1"/>
  <c r="C33" i="3" s="1"/>
  <c r="D24" i="3" s="1"/>
  <c r="O58" i="3"/>
  <c r="P58" i="3"/>
  <c r="P18" i="3"/>
  <c r="X18" i="3"/>
  <c r="Q18" i="3"/>
  <c r="I18" i="3"/>
  <c r="Y18" i="3"/>
  <c r="O18" i="3"/>
  <c r="G8" i="3"/>
  <c r="J18" i="3"/>
  <c r="H18" i="3"/>
  <c r="V8" i="3"/>
  <c r="D8" i="3"/>
  <c r="T8" i="3"/>
  <c r="K18" i="3"/>
  <c r="Z18" i="3"/>
  <c r="E8" i="3"/>
  <c r="M8" i="3"/>
  <c r="U8" i="3"/>
  <c r="H8" i="3"/>
  <c r="F8" i="3"/>
  <c r="N8" i="3"/>
  <c r="L8" i="3"/>
  <c r="S18" i="3"/>
  <c r="C28" i="3"/>
  <c r="C31" i="3" s="1"/>
  <c r="C29" i="3"/>
  <c r="C32" i="3" s="1"/>
  <c r="D23" i="3" s="1"/>
  <c r="R8" i="3"/>
  <c r="G18" i="3"/>
  <c r="W18" i="3"/>
  <c r="R18" i="3"/>
  <c r="D18" i="3"/>
  <c r="L18" i="3"/>
  <c r="T18" i="3"/>
  <c r="E18" i="3"/>
  <c r="M18" i="3"/>
  <c r="U18" i="3"/>
  <c r="C14" i="3"/>
  <c r="C8" i="3"/>
  <c r="K8" i="3"/>
  <c r="S8" i="3"/>
  <c r="C38" i="3"/>
  <c r="C11" i="3"/>
  <c r="C27" i="3"/>
  <c r="K48" i="3"/>
  <c r="S48" i="3"/>
  <c r="D48" i="3"/>
  <c r="L48" i="3"/>
  <c r="T48" i="3"/>
  <c r="E48" i="3"/>
  <c r="M48" i="3"/>
  <c r="U48" i="3"/>
  <c r="Q58" i="3"/>
  <c r="F48" i="3"/>
  <c r="N48" i="3"/>
  <c r="V48" i="3"/>
  <c r="G48" i="3"/>
  <c r="W48" i="3"/>
  <c r="H48" i="3"/>
  <c r="X48" i="3"/>
  <c r="I48" i="3"/>
  <c r="Y48" i="3"/>
  <c r="J48" i="3"/>
  <c r="R48" i="3"/>
  <c r="Z48" i="3"/>
  <c r="C56" i="3" l="1"/>
  <c r="D22" i="3"/>
  <c r="C34" i="3"/>
  <c r="D26" i="3"/>
  <c r="C42" i="3"/>
  <c r="D20" i="3"/>
  <c r="D10" i="3"/>
  <c r="D27" i="3"/>
  <c r="C85" i="3"/>
  <c r="C12" i="3"/>
  <c r="C58" i="3" l="1"/>
  <c r="C48" i="3"/>
  <c r="C86" i="3"/>
  <c r="C53" i="3"/>
  <c r="C88" i="3"/>
  <c r="C47" i="3"/>
  <c r="D43" i="3"/>
  <c r="D11" i="3"/>
  <c r="D25" i="3"/>
  <c r="D38" i="3" s="1"/>
  <c r="D19" i="3"/>
  <c r="D21" i="3" s="1"/>
  <c r="C41" i="3"/>
  <c r="C57" i="3" s="1"/>
  <c r="C60" i="3" s="1"/>
  <c r="D37" i="3"/>
  <c r="C15" i="3"/>
  <c r="C36" i="3" s="1"/>
  <c r="C40" i="3" s="1"/>
  <c r="C65" i="3" l="1"/>
  <c r="C61" i="3"/>
  <c r="C62" i="3"/>
  <c r="D30" i="3"/>
  <c r="D33" i="3" s="1"/>
  <c r="E24" i="3" s="1"/>
  <c r="D29" i="3"/>
  <c r="D32" i="3" s="1"/>
  <c r="E23" i="3" s="1"/>
  <c r="D28" i="3"/>
  <c r="D31" i="3" s="1"/>
  <c r="C59" i="3"/>
  <c r="D35" i="3"/>
  <c r="D39" i="3" s="1"/>
  <c r="C70" i="3"/>
  <c r="C49" i="3"/>
  <c r="C50" i="3" s="1"/>
  <c r="C67" i="3"/>
  <c r="D12" i="3"/>
  <c r="D14" i="3"/>
  <c r="D56" i="3" l="1"/>
  <c r="D47" i="3"/>
  <c r="D34" i="3"/>
  <c r="E22" i="3"/>
  <c r="C68" i="3"/>
  <c r="C51" i="3"/>
  <c r="C52" i="3" s="1"/>
  <c r="C87" i="3"/>
  <c r="E26" i="3"/>
  <c r="D85" i="3"/>
  <c r="E27" i="3"/>
  <c r="C63" i="3"/>
  <c r="E19" i="3"/>
  <c r="E21" i="3" s="1"/>
  <c r="E37" i="3"/>
  <c r="D41" i="3"/>
  <c r="D57" i="3" s="1"/>
  <c r="D15" i="3"/>
  <c r="D36" i="3" s="1"/>
  <c r="D40" i="3" s="1"/>
  <c r="E10" i="3"/>
  <c r="D59" i="3" l="1"/>
  <c r="E35" i="3"/>
  <c r="E39" i="3" s="1"/>
  <c r="E43" i="3"/>
  <c r="E11" i="3"/>
  <c r="E30" i="3"/>
  <c r="E33" i="3" s="1"/>
  <c r="F24" i="3" s="1"/>
  <c r="E28" i="3"/>
  <c r="E29" i="3"/>
  <c r="E32" i="3" s="1"/>
  <c r="F23" i="3" s="1"/>
  <c r="E25" i="3"/>
  <c r="E38" i="3" s="1"/>
  <c r="C64" i="3"/>
  <c r="C74" i="3" s="1"/>
  <c r="D60" i="3"/>
  <c r="C89" i="3"/>
  <c r="C82" i="3"/>
  <c r="B25" i="1"/>
  <c r="D86" i="3"/>
  <c r="D70" i="3"/>
  <c r="D67" i="3"/>
  <c r="D44" i="3"/>
  <c r="E31" i="3" l="1"/>
  <c r="F27" i="3"/>
  <c r="E56" i="3"/>
  <c r="E47" i="3"/>
  <c r="E34" i="3"/>
  <c r="F22" i="3"/>
  <c r="C25" i="1"/>
  <c r="C75" i="3"/>
  <c r="D88" i="3"/>
  <c r="D49" i="3"/>
  <c r="D50" i="3" s="1"/>
  <c r="D53" i="3"/>
  <c r="D65" i="3"/>
  <c r="D62" i="3"/>
  <c r="D61" i="3"/>
  <c r="E12" i="3"/>
  <c r="E14" i="3"/>
  <c r="F26" i="3"/>
  <c r="E86" i="3" l="1"/>
  <c r="E44" i="3"/>
  <c r="E53" i="3" s="1"/>
  <c r="E85" i="3"/>
  <c r="F19" i="3"/>
  <c r="F21" i="3" s="1"/>
  <c r="E41" i="3"/>
  <c r="E57" i="3" s="1"/>
  <c r="E60" i="3" s="1"/>
  <c r="F37" i="3"/>
  <c r="E15" i="3"/>
  <c r="E36" i="3" s="1"/>
  <c r="E40" i="3" s="1"/>
  <c r="F10" i="3"/>
  <c r="D63" i="3"/>
  <c r="C77" i="3"/>
  <c r="C78" i="3" s="1"/>
  <c r="C80" i="3" s="1"/>
  <c r="C79" i="3"/>
  <c r="D76" i="3" s="1"/>
  <c r="F25" i="3"/>
  <c r="F38" i="3" s="1"/>
  <c r="D68" i="3"/>
  <c r="D51" i="3"/>
  <c r="D52" i="3" s="1"/>
  <c r="D87" i="3"/>
  <c r="E70" i="3" l="1"/>
  <c r="E65" i="3"/>
  <c r="E62" i="3"/>
  <c r="E61" i="3"/>
  <c r="C81" i="3"/>
  <c r="D25" i="1"/>
  <c r="D64" i="3"/>
  <c r="D74" i="3" s="1"/>
  <c r="E59" i="3"/>
  <c r="F35" i="3"/>
  <c r="F39" i="3" s="1"/>
  <c r="F43" i="3"/>
  <c r="F11" i="3"/>
  <c r="E67" i="3"/>
  <c r="D89" i="3"/>
  <c r="B26" i="1"/>
  <c r="E88" i="3"/>
  <c r="E49" i="3"/>
  <c r="E50" i="3" s="1"/>
  <c r="E87" i="3" s="1"/>
  <c r="F28" i="3"/>
  <c r="F31" i="3" s="1"/>
  <c r="F29" i="3"/>
  <c r="F32" i="3" s="1"/>
  <c r="G23" i="3" s="1"/>
  <c r="F30" i="3"/>
  <c r="F33" i="3" s="1"/>
  <c r="G24" i="3" s="1"/>
  <c r="E63" i="3" l="1"/>
  <c r="E64" i="3" s="1"/>
  <c r="F56" i="3"/>
  <c r="F47" i="3"/>
  <c r="F34" i="3"/>
  <c r="G22" i="3"/>
  <c r="C26" i="1"/>
  <c r="D75" i="3"/>
  <c r="E68" i="3"/>
  <c r="E51" i="3"/>
  <c r="E52" i="3" s="1"/>
  <c r="G27" i="3"/>
  <c r="G26" i="3"/>
  <c r="F12" i="3"/>
  <c r="F14" i="3"/>
  <c r="E74" i="3" l="1"/>
  <c r="C27" i="1" s="1"/>
  <c r="E89" i="3"/>
  <c r="B27" i="1"/>
  <c r="G25" i="3"/>
  <c r="G38" i="3" s="1"/>
  <c r="D77" i="3"/>
  <c r="D78" i="3" s="1"/>
  <c r="D80" i="3" s="1"/>
  <c r="D79" i="3"/>
  <c r="E76" i="3" s="1"/>
  <c r="F86" i="3"/>
  <c r="F44" i="3"/>
  <c r="F85" i="3"/>
  <c r="G19" i="3"/>
  <c r="G21" i="3" s="1"/>
  <c r="F41" i="3"/>
  <c r="F57" i="3" s="1"/>
  <c r="F60" i="3" s="1"/>
  <c r="G37" i="3"/>
  <c r="F15" i="3"/>
  <c r="F36" i="3" s="1"/>
  <c r="F40" i="3" s="1"/>
  <c r="G10" i="3"/>
  <c r="E75" i="3" l="1"/>
  <c r="E79" i="3"/>
  <c r="F76" i="3" s="1"/>
  <c r="D26" i="1"/>
  <c r="D82" i="3"/>
  <c r="D81" i="3"/>
  <c r="F65" i="3"/>
  <c r="F62" i="3"/>
  <c r="F61" i="3"/>
  <c r="F70" i="3"/>
  <c r="F59" i="3"/>
  <c r="G35" i="3"/>
  <c r="G39" i="3" s="1"/>
  <c r="F88" i="3"/>
  <c r="F49" i="3"/>
  <c r="F50" i="3" s="1"/>
  <c r="F87" i="3" s="1"/>
  <c r="E77" i="3"/>
  <c r="E78" i="3" s="1"/>
  <c r="E80" i="3" s="1"/>
  <c r="G43" i="3"/>
  <c r="G11" i="3"/>
  <c r="F53" i="3"/>
  <c r="G28" i="3"/>
  <c r="G31" i="3" s="1"/>
  <c r="G29" i="3"/>
  <c r="G32" i="3" s="1"/>
  <c r="H23" i="3" s="1"/>
  <c r="G30" i="3"/>
  <c r="G33" i="3" s="1"/>
  <c r="H24" i="3" s="1"/>
  <c r="F67" i="3"/>
  <c r="F63" i="3" l="1"/>
  <c r="G56" i="3"/>
  <c r="G47" i="3"/>
  <c r="G34" i="3"/>
  <c r="H22" i="3"/>
  <c r="D27" i="1"/>
  <c r="E82" i="3"/>
  <c r="F64" i="3"/>
  <c r="F74" i="3" s="1"/>
  <c r="E81" i="3"/>
  <c r="F68" i="3"/>
  <c r="F51" i="3"/>
  <c r="F52" i="3" s="1"/>
  <c r="G12" i="3"/>
  <c r="G14" i="3"/>
  <c r="H27" i="3"/>
  <c r="H26" i="3"/>
  <c r="C28" i="1" l="1"/>
  <c r="F89" i="3"/>
  <c r="F75" i="3"/>
  <c r="B28" i="1"/>
  <c r="G85" i="3"/>
  <c r="H25" i="3"/>
  <c r="H38" i="3" s="1"/>
  <c r="G86" i="3"/>
  <c r="G44" i="3"/>
  <c r="H19" i="3"/>
  <c r="H21" i="3" s="1"/>
  <c r="H37" i="3"/>
  <c r="G41" i="3"/>
  <c r="G57" i="3" s="1"/>
  <c r="G60" i="3" s="1"/>
  <c r="G15" i="3"/>
  <c r="G36" i="3" s="1"/>
  <c r="G40" i="3" s="1"/>
  <c r="H10" i="3"/>
  <c r="G62" i="3" l="1"/>
  <c r="G65" i="3"/>
  <c r="G61" i="3"/>
  <c r="G63" i="3" s="1"/>
  <c r="H29" i="3"/>
  <c r="H32" i="3" s="1"/>
  <c r="I23" i="3" s="1"/>
  <c r="H30" i="3"/>
  <c r="H33" i="3" s="1"/>
  <c r="I24" i="3" s="1"/>
  <c r="H28" i="3"/>
  <c r="H31" i="3" s="1"/>
  <c r="G88" i="3"/>
  <c r="G49" i="3"/>
  <c r="G50" i="3" s="1"/>
  <c r="G87" i="3" s="1"/>
  <c r="G53" i="3"/>
  <c r="G67" i="3"/>
  <c r="F77" i="3"/>
  <c r="F78" i="3" s="1"/>
  <c r="F80" i="3" s="1"/>
  <c r="F79" i="3"/>
  <c r="G76" i="3" s="1"/>
  <c r="G59" i="3"/>
  <c r="H35" i="3"/>
  <c r="H39" i="3" s="1"/>
  <c r="H43" i="3"/>
  <c r="H11" i="3"/>
  <c r="G70" i="3"/>
  <c r="H47" i="3" l="1"/>
  <c r="H56" i="3"/>
  <c r="H34" i="3"/>
  <c r="I22" i="3"/>
  <c r="D28" i="1"/>
  <c r="F81" i="3"/>
  <c r="F82" i="3"/>
  <c r="H12" i="3"/>
  <c r="B13" i="1"/>
  <c r="H14" i="3"/>
  <c r="G68" i="3"/>
  <c r="G51" i="3"/>
  <c r="G52" i="3" s="1"/>
  <c r="I27" i="3"/>
  <c r="I26" i="3"/>
  <c r="G64" i="3"/>
  <c r="G74" i="3" s="1"/>
  <c r="C29" i="1" l="1"/>
  <c r="G89" i="3"/>
  <c r="G75" i="3"/>
  <c r="B29" i="1"/>
  <c r="H85" i="3"/>
  <c r="B7" i="1"/>
  <c r="I19" i="3"/>
  <c r="I21" i="3" s="1"/>
  <c r="H41" i="3"/>
  <c r="H57" i="3" s="1"/>
  <c r="H60" i="3" s="1"/>
  <c r="I37" i="3"/>
  <c r="I10" i="3"/>
  <c r="H15" i="3"/>
  <c r="H36" i="3" s="1"/>
  <c r="H40" i="3" s="1"/>
  <c r="I25" i="3"/>
  <c r="I38" i="3" s="1"/>
  <c r="H86" i="3"/>
  <c r="B8" i="1"/>
  <c r="H44" i="3"/>
  <c r="H53" i="3" s="1"/>
  <c r="H62" i="3" l="1"/>
  <c r="H65" i="3"/>
  <c r="H61" i="3"/>
  <c r="H59" i="3"/>
  <c r="I35" i="3"/>
  <c r="I39" i="3" s="1"/>
  <c r="H87" i="3"/>
  <c r="H67" i="3"/>
  <c r="H70" i="3"/>
  <c r="I43" i="3"/>
  <c r="I11" i="3"/>
  <c r="I29" i="3"/>
  <c r="I32" i="3" s="1"/>
  <c r="J23" i="3" s="1"/>
  <c r="I30" i="3"/>
  <c r="I33" i="3" s="1"/>
  <c r="J24" i="3" s="1"/>
  <c r="I28" i="3"/>
  <c r="I31" i="3" s="1"/>
  <c r="G77" i="3"/>
  <c r="G78" i="3" s="1"/>
  <c r="G80" i="3" s="1"/>
  <c r="G79" i="3"/>
  <c r="H76" i="3" s="1"/>
  <c r="H88" i="3"/>
  <c r="H49" i="3"/>
  <c r="H50" i="3" s="1"/>
  <c r="H63" i="3" l="1"/>
  <c r="D29" i="1"/>
  <c r="G81" i="3"/>
  <c r="G82" i="3"/>
  <c r="I47" i="3"/>
  <c r="I56" i="3"/>
  <c r="I34" i="3"/>
  <c r="J22" i="3"/>
  <c r="H68" i="3"/>
  <c r="H51" i="3"/>
  <c r="H52" i="3" s="1"/>
  <c r="H64" i="3"/>
  <c r="I12" i="3"/>
  <c r="I14" i="3"/>
  <c r="J27" i="3"/>
  <c r="J26" i="3"/>
  <c r="H74" i="3" l="1"/>
  <c r="C30" i="1"/>
  <c r="B10" i="1"/>
  <c r="H89" i="3"/>
  <c r="H75" i="3"/>
  <c r="B30" i="1"/>
  <c r="B9" i="1"/>
  <c r="J25" i="3"/>
  <c r="J38" i="3" s="1"/>
  <c r="I85" i="3"/>
  <c r="I86" i="3"/>
  <c r="I44" i="3"/>
  <c r="J19" i="3"/>
  <c r="J21" i="3" s="1"/>
  <c r="J37" i="3"/>
  <c r="I41" i="3"/>
  <c r="I57" i="3" s="1"/>
  <c r="I60" i="3" s="1"/>
  <c r="I15" i="3"/>
  <c r="I36" i="3" s="1"/>
  <c r="I40" i="3" s="1"/>
  <c r="J10" i="3"/>
  <c r="I59" i="3" l="1"/>
  <c r="J35" i="3"/>
  <c r="J39" i="3" s="1"/>
  <c r="I67" i="3"/>
  <c r="I70" i="3"/>
  <c r="I62" i="3"/>
  <c r="I65" i="3"/>
  <c r="I61" i="3"/>
  <c r="I63" i="3" s="1"/>
  <c r="J43" i="3"/>
  <c r="J11" i="3"/>
  <c r="H77" i="3"/>
  <c r="H78" i="3" s="1"/>
  <c r="H80" i="3" s="1"/>
  <c r="H79" i="3"/>
  <c r="I76" i="3" s="1"/>
  <c r="J29" i="3"/>
  <c r="J32" i="3" s="1"/>
  <c r="K23" i="3" s="1"/>
  <c r="J30" i="3"/>
  <c r="J33" i="3" s="1"/>
  <c r="K24" i="3" s="1"/>
  <c r="J28" i="3"/>
  <c r="J31" i="3" s="1"/>
  <c r="I88" i="3"/>
  <c r="I49" i="3"/>
  <c r="I50" i="3" s="1"/>
  <c r="I53" i="3"/>
  <c r="B11" i="1" l="1"/>
  <c r="D30" i="1"/>
  <c r="H81" i="3"/>
  <c r="H82" i="3"/>
  <c r="K27" i="3"/>
  <c r="K26" i="3"/>
  <c r="I68" i="3"/>
  <c r="I51" i="3"/>
  <c r="I52" i="3" s="1"/>
  <c r="I64" i="3"/>
  <c r="I87" i="3"/>
  <c r="J12" i="3"/>
  <c r="J14" i="3"/>
  <c r="J47" i="3"/>
  <c r="J56" i="3"/>
  <c r="K22" i="3"/>
  <c r="J34" i="3"/>
  <c r="I74" i="3" l="1"/>
  <c r="C31" i="1" s="1"/>
  <c r="I89" i="3"/>
  <c r="B31" i="1"/>
  <c r="J86" i="3"/>
  <c r="J44" i="3"/>
  <c r="J53" i="3" s="1"/>
  <c r="K19" i="3"/>
  <c r="K21" i="3" s="1"/>
  <c r="K37" i="3"/>
  <c r="J15" i="3"/>
  <c r="J36" i="3" s="1"/>
  <c r="J40" i="3" s="1"/>
  <c r="J41" i="3"/>
  <c r="J57" i="3" s="1"/>
  <c r="J60" i="3" s="1"/>
  <c r="K10" i="3"/>
  <c r="K25" i="3"/>
  <c r="K38" i="3" s="1"/>
  <c r="B12" i="1"/>
  <c r="J85" i="3"/>
  <c r="I75" i="3" l="1"/>
  <c r="J65" i="3"/>
  <c r="J62" i="3"/>
  <c r="J61" i="3"/>
  <c r="K43" i="3"/>
  <c r="K11" i="3"/>
  <c r="K30" i="3"/>
  <c r="K33" i="3" s="1"/>
  <c r="L24" i="3" s="1"/>
  <c r="K28" i="3"/>
  <c r="K31" i="3" s="1"/>
  <c r="K29" i="3"/>
  <c r="K32" i="3" s="1"/>
  <c r="L23" i="3" s="1"/>
  <c r="I77" i="3"/>
  <c r="I78" i="3" s="1"/>
  <c r="I80" i="3" s="1"/>
  <c r="I79" i="3"/>
  <c r="J76" i="3" s="1"/>
  <c r="J67" i="3"/>
  <c r="J88" i="3"/>
  <c r="J49" i="3"/>
  <c r="J50" i="3" s="1"/>
  <c r="J70" i="3"/>
  <c r="J59" i="3"/>
  <c r="K35" i="3"/>
  <c r="K39" i="3" s="1"/>
  <c r="J63" i="3" l="1"/>
  <c r="K56" i="3"/>
  <c r="K47" i="3"/>
  <c r="L22" i="3"/>
  <c r="K34" i="3"/>
  <c r="D31" i="1"/>
  <c r="I82" i="3"/>
  <c r="I81" i="3"/>
  <c r="J68" i="3"/>
  <c r="J51" i="3"/>
  <c r="J52" i="3" s="1"/>
  <c r="L26" i="3"/>
  <c r="L27" i="3"/>
  <c r="K12" i="3"/>
  <c r="K14" i="3"/>
  <c r="J87" i="3"/>
  <c r="J64" i="3"/>
  <c r="J74" i="3" l="1"/>
  <c r="C32" i="1" s="1"/>
  <c r="J89" i="3"/>
  <c r="J75" i="3"/>
  <c r="B32" i="1"/>
  <c r="K86" i="3"/>
  <c r="K44" i="3"/>
  <c r="K53" i="3" s="1"/>
  <c r="L25" i="3"/>
  <c r="L38" i="3" s="1"/>
  <c r="L19" i="3"/>
  <c r="L21" i="3" s="1"/>
  <c r="L37" i="3"/>
  <c r="K41" i="3"/>
  <c r="K57" i="3" s="1"/>
  <c r="K60" i="3" s="1"/>
  <c r="L10" i="3"/>
  <c r="K15" i="3"/>
  <c r="K85" i="3"/>
  <c r="K36" i="3"/>
  <c r="K40" i="3" s="1"/>
  <c r="K67" i="3" l="1"/>
  <c r="L30" i="3"/>
  <c r="L33" i="3" s="1"/>
  <c r="M24" i="3" s="1"/>
  <c r="L29" i="3"/>
  <c r="L32" i="3" s="1"/>
  <c r="M23" i="3" s="1"/>
  <c r="L28" i="3"/>
  <c r="L31" i="3"/>
  <c r="J77" i="3"/>
  <c r="J78" i="3" s="1"/>
  <c r="J80" i="3" s="1"/>
  <c r="J79" i="3"/>
  <c r="K76" i="3" s="1"/>
  <c r="K88" i="3"/>
  <c r="K49" i="3"/>
  <c r="K50" i="3" s="1"/>
  <c r="K87" i="3" s="1"/>
  <c r="L43" i="3"/>
  <c r="L11" i="3"/>
  <c r="K59" i="3"/>
  <c r="L35" i="3"/>
  <c r="L39" i="3" s="1"/>
  <c r="K65" i="3"/>
  <c r="K62" i="3"/>
  <c r="K61" i="3"/>
  <c r="K63" i="3" s="1"/>
  <c r="K70" i="3"/>
  <c r="D32" i="1" l="1"/>
  <c r="J82" i="3"/>
  <c r="J81" i="3"/>
  <c r="L56" i="3"/>
  <c r="L47" i="3"/>
  <c r="L34" i="3"/>
  <c r="M22" i="3"/>
  <c r="L12" i="3"/>
  <c r="L14" i="3"/>
  <c r="K68" i="3"/>
  <c r="K51" i="3"/>
  <c r="K52" i="3" s="1"/>
  <c r="M26" i="3"/>
  <c r="K64" i="3"/>
  <c r="K74" i="3" s="1"/>
  <c r="C33" i="1" s="1"/>
  <c r="M27" i="3"/>
  <c r="K89" i="3" l="1"/>
  <c r="K75" i="3"/>
  <c r="B33" i="1"/>
  <c r="L86" i="3"/>
  <c r="L44" i="3"/>
  <c r="L85" i="3"/>
  <c r="M19" i="3"/>
  <c r="M21" i="3" s="1"/>
  <c r="M37" i="3"/>
  <c r="L41" i="3"/>
  <c r="L57" i="3" s="1"/>
  <c r="L60" i="3" s="1"/>
  <c r="M10" i="3"/>
  <c r="L15" i="3"/>
  <c r="L36" i="3" s="1"/>
  <c r="L40" i="3" s="1"/>
  <c r="M25" i="3"/>
  <c r="M38" i="3" s="1"/>
  <c r="L65" i="3" l="1"/>
  <c r="L62" i="3"/>
  <c r="L61" i="3"/>
  <c r="L63" i="3" s="1"/>
  <c r="L59" i="3"/>
  <c r="M35" i="3"/>
  <c r="M39" i="3" s="1"/>
  <c r="M30" i="3"/>
  <c r="M33" i="3" s="1"/>
  <c r="N24" i="3" s="1"/>
  <c r="M28" i="3"/>
  <c r="M31" i="3" s="1"/>
  <c r="M29" i="3"/>
  <c r="M32" i="3" s="1"/>
  <c r="N23" i="3" s="1"/>
  <c r="L88" i="3"/>
  <c r="L49" i="3"/>
  <c r="L50" i="3" s="1"/>
  <c r="L87" i="3" s="1"/>
  <c r="L53" i="3"/>
  <c r="L70" i="3"/>
  <c r="K77" i="3"/>
  <c r="K78" i="3" s="1"/>
  <c r="K80" i="3" s="1"/>
  <c r="K79" i="3"/>
  <c r="L76" i="3" s="1"/>
  <c r="M43" i="3"/>
  <c r="M11" i="3"/>
  <c r="L67" i="3"/>
  <c r="D33" i="1" l="1"/>
  <c r="K82" i="3"/>
  <c r="K81" i="3"/>
  <c r="M12" i="3"/>
  <c r="M14" i="3"/>
  <c r="L64" i="3"/>
  <c r="N26" i="3"/>
  <c r="N27" i="3"/>
  <c r="L68" i="3"/>
  <c r="L51" i="3"/>
  <c r="L52" i="3" s="1"/>
  <c r="M56" i="3"/>
  <c r="M47" i="3"/>
  <c r="N22" i="3"/>
  <c r="M34" i="3"/>
  <c r="L74" i="3" l="1"/>
  <c r="C34" i="1" s="1"/>
  <c r="L89" i="3"/>
  <c r="B34" i="1"/>
  <c r="M86" i="3"/>
  <c r="M44" i="3"/>
  <c r="M53" i="3" s="1"/>
  <c r="M85" i="3"/>
  <c r="N25" i="3"/>
  <c r="N38" i="3" s="1"/>
  <c r="N37" i="3"/>
  <c r="N19" i="3"/>
  <c r="N21" i="3" s="1"/>
  <c r="M41" i="3"/>
  <c r="M57" i="3" s="1"/>
  <c r="M60" i="3" s="1"/>
  <c r="M15" i="3"/>
  <c r="M36" i="3" s="1"/>
  <c r="M40" i="3" s="1"/>
  <c r="N10" i="3"/>
  <c r="L75" i="3" l="1"/>
  <c r="M65" i="3"/>
  <c r="M62" i="3"/>
  <c r="M61" i="3"/>
  <c r="M63" i="3" s="1"/>
  <c r="M59" i="3"/>
  <c r="N35" i="3"/>
  <c r="N39" i="3" s="1"/>
  <c r="M88" i="3"/>
  <c r="M49" i="3"/>
  <c r="M50" i="3" s="1"/>
  <c r="M87" i="3" s="1"/>
  <c r="L77" i="3"/>
  <c r="L78" i="3" s="1"/>
  <c r="L80" i="3" s="1"/>
  <c r="L79" i="3"/>
  <c r="M76" i="3" s="1"/>
  <c r="N30" i="3"/>
  <c r="N33" i="3" s="1"/>
  <c r="O24" i="3" s="1"/>
  <c r="N28" i="3"/>
  <c r="N31" i="3" s="1"/>
  <c r="N29" i="3"/>
  <c r="N32" i="3" s="1"/>
  <c r="O23" i="3" s="1"/>
  <c r="M67" i="3"/>
  <c r="N43" i="3"/>
  <c r="N11" i="3"/>
  <c r="M70" i="3"/>
  <c r="D34" i="1" l="1"/>
  <c r="L81" i="3"/>
  <c r="L82" i="3"/>
  <c r="N56" i="3"/>
  <c r="N47" i="3"/>
  <c r="N34" i="3"/>
  <c r="O22" i="3"/>
  <c r="O26" i="3"/>
  <c r="O27" i="3"/>
  <c r="C13" i="1"/>
  <c r="N12" i="3"/>
  <c r="N14" i="3"/>
  <c r="B21" i="1"/>
  <c r="M64" i="3"/>
  <c r="B22" i="1"/>
  <c r="M68" i="3"/>
  <c r="M51" i="3"/>
  <c r="M52" i="3" s="1"/>
  <c r="M74" i="3" l="1"/>
  <c r="C35" i="1" s="1"/>
  <c r="M89" i="3"/>
  <c r="B35" i="1"/>
  <c r="O19" i="3"/>
  <c r="O21" i="3" s="1"/>
  <c r="N41" i="3"/>
  <c r="N57" i="3" s="1"/>
  <c r="N60" i="3" s="1"/>
  <c r="O37" i="3"/>
  <c r="N15" i="3"/>
  <c r="N36" i="3" s="1"/>
  <c r="N40" i="3" s="1"/>
  <c r="O10" i="3"/>
  <c r="N86" i="3"/>
  <c r="C8" i="1"/>
  <c r="N44" i="3"/>
  <c r="N53" i="3" s="1"/>
  <c r="N85" i="3"/>
  <c r="C7" i="1"/>
  <c r="B17" i="1"/>
  <c r="O25" i="3"/>
  <c r="O38" i="3" s="1"/>
  <c r="M75" i="3" l="1"/>
  <c r="N67" i="3"/>
  <c r="N65" i="3"/>
  <c r="N62" i="3"/>
  <c r="N61" i="3"/>
  <c r="N63" i="3" s="1"/>
  <c r="O28" i="3"/>
  <c r="O31" i="3" s="1"/>
  <c r="O29" i="3"/>
  <c r="O32" i="3" s="1"/>
  <c r="P23" i="3" s="1"/>
  <c r="O30" i="3"/>
  <c r="O33" i="3" s="1"/>
  <c r="P24" i="3" s="1"/>
  <c r="N59" i="3"/>
  <c r="O35" i="3"/>
  <c r="O39" i="3" s="1"/>
  <c r="N70" i="3"/>
  <c r="M77" i="3"/>
  <c r="M78" i="3" s="1"/>
  <c r="M80" i="3" s="1"/>
  <c r="M79" i="3"/>
  <c r="N76" i="3" s="1"/>
  <c r="O43" i="3"/>
  <c r="O11" i="3"/>
  <c r="N88" i="3"/>
  <c r="N49" i="3"/>
  <c r="N50" i="3" s="1"/>
  <c r="D35" i="1" l="1"/>
  <c r="M82" i="3"/>
  <c r="M81" i="3"/>
  <c r="P27" i="3"/>
  <c r="O56" i="3"/>
  <c r="O47" i="3"/>
  <c r="O34" i="3"/>
  <c r="P22" i="3"/>
  <c r="O12" i="3"/>
  <c r="O14" i="3"/>
  <c r="P26" i="3"/>
  <c r="N68" i="3"/>
  <c r="N51" i="3"/>
  <c r="N52" i="3" s="1"/>
  <c r="N64" i="3"/>
  <c r="N74" i="3" s="1"/>
  <c r="N87" i="3"/>
  <c r="C36" i="1" l="1"/>
  <c r="C10" i="1"/>
  <c r="B19" i="1"/>
  <c r="N89" i="3"/>
  <c r="N75" i="3"/>
  <c r="C9" i="1"/>
  <c r="B36" i="1"/>
  <c r="B18" i="1"/>
  <c r="O85" i="3"/>
  <c r="P19" i="3"/>
  <c r="P21" i="3" s="1"/>
  <c r="O41" i="3"/>
  <c r="O57" i="3" s="1"/>
  <c r="O60" i="3" s="1"/>
  <c r="O15" i="3"/>
  <c r="O36" i="3" s="1"/>
  <c r="O40" i="3" s="1"/>
  <c r="P37" i="3"/>
  <c r="P10" i="3"/>
  <c r="P25" i="3"/>
  <c r="P38" i="3" s="1"/>
  <c r="O86" i="3"/>
  <c r="O44" i="3"/>
  <c r="O53" i="3" s="1"/>
  <c r="O59" i="3" l="1"/>
  <c r="P35" i="3"/>
  <c r="P39" i="3" s="1"/>
  <c r="O70" i="3"/>
  <c r="O67" i="3"/>
  <c r="O61" i="3"/>
  <c r="O65" i="3"/>
  <c r="O62" i="3"/>
  <c r="P28" i="3"/>
  <c r="P31" i="3" s="1"/>
  <c r="P29" i="3"/>
  <c r="P32" i="3" s="1"/>
  <c r="Q23" i="3" s="1"/>
  <c r="P30" i="3"/>
  <c r="P33" i="3" s="1"/>
  <c r="Q24" i="3" s="1"/>
  <c r="N77" i="3"/>
  <c r="N78" i="3" s="1"/>
  <c r="N80" i="3" s="1"/>
  <c r="N79" i="3"/>
  <c r="O76" i="3" s="1"/>
  <c r="O88" i="3"/>
  <c r="O49" i="3"/>
  <c r="O50" i="3" s="1"/>
  <c r="O87" i="3" s="1"/>
  <c r="P43" i="3"/>
  <c r="P11" i="3"/>
  <c r="O63" i="3" l="1"/>
  <c r="D36" i="1"/>
  <c r="C11" i="1"/>
  <c r="B20" i="1"/>
  <c r="N81" i="3"/>
  <c r="N82" i="3"/>
  <c r="P56" i="3"/>
  <c r="P47" i="3"/>
  <c r="P34" i="3"/>
  <c r="Q22" i="3"/>
  <c r="Q27" i="3"/>
  <c r="Q26" i="3"/>
  <c r="O64" i="3"/>
  <c r="P12" i="3"/>
  <c r="P14" i="3"/>
  <c r="O68" i="3"/>
  <c r="O51" i="3"/>
  <c r="O52" i="3" s="1"/>
  <c r="O74" i="3" l="1"/>
  <c r="O75" i="3" s="1"/>
  <c r="O89" i="3"/>
  <c r="B37" i="1"/>
  <c r="C37" i="1"/>
  <c r="P85" i="3"/>
  <c r="Q19" i="3"/>
  <c r="Q21" i="3" s="1"/>
  <c r="P15" i="3"/>
  <c r="P36" i="3" s="1"/>
  <c r="P40" i="3" s="1"/>
  <c r="P41" i="3"/>
  <c r="P57" i="3" s="1"/>
  <c r="P60" i="3" s="1"/>
  <c r="Q10" i="3"/>
  <c r="Q37" i="3"/>
  <c r="C12" i="1"/>
  <c r="Q25" i="3"/>
  <c r="Q38" i="3" s="1"/>
  <c r="P86" i="3"/>
  <c r="P44" i="3"/>
  <c r="P61" i="3" l="1"/>
  <c r="P65" i="3"/>
  <c r="P62" i="3"/>
  <c r="P59" i="3"/>
  <c r="Q35" i="3"/>
  <c r="Q39" i="3" s="1"/>
  <c r="P70" i="3"/>
  <c r="P67" i="3"/>
  <c r="Q43" i="3"/>
  <c r="Q11" i="3"/>
  <c r="Q29" i="3"/>
  <c r="Q32" i="3" s="1"/>
  <c r="R23" i="3" s="1"/>
  <c r="Q30" i="3"/>
  <c r="Q33" i="3" s="1"/>
  <c r="R24" i="3" s="1"/>
  <c r="Q28" i="3"/>
  <c r="Q31" i="3" s="1"/>
  <c r="P88" i="3"/>
  <c r="P49" i="3"/>
  <c r="P50" i="3" s="1"/>
  <c r="P87" i="3" s="1"/>
  <c r="O77" i="3"/>
  <c r="O78" i="3" s="1"/>
  <c r="O80" i="3" s="1"/>
  <c r="O79" i="3"/>
  <c r="P76" i="3" s="1"/>
  <c r="P53" i="3"/>
  <c r="D37" i="1" l="1"/>
  <c r="O82" i="3"/>
  <c r="O81" i="3"/>
  <c r="Q56" i="3"/>
  <c r="Q47" i="3"/>
  <c r="Q34" i="3"/>
  <c r="R22" i="3"/>
  <c r="R27" i="3"/>
  <c r="R26" i="3"/>
  <c r="Q12" i="3"/>
  <c r="Q14" i="3"/>
  <c r="P51" i="3"/>
  <c r="P52" i="3" s="1"/>
  <c r="P68" i="3"/>
  <c r="P63" i="3"/>
  <c r="P89" i="3" l="1"/>
  <c r="B38" i="1"/>
  <c r="Q85" i="3"/>
  <c r="P64" i="3"/>
  <c r="P74" i="3" s="1"/>
  <c r="Q86" i="3"/>
  <c r="Q44" i="3"/>
  <c r="Q53" i="3" s="1"/>
  <c r="R19" i="3"/>
  <c r="R21" i="3" s="1"/>
  <c r="Q15" i="3"/>
  <c r="Q36" i="3" s="1"/>
  <c r="Q40" i="3" s="1"/>
  <c r="R10" i="3"/>
  <c r="R37" i="3"/>
  <c r="Q41" i="3"/>
  <c r="Q57" i="3" s="1"/>
  <c r="Q60" i="3" s="1"/>
  <c r="R25" i="3"/>
  <c r="R38" i="3" s="1"/>
  <c r="Q65" i="3" l="1"/>
  <c r="Q61" i="3"/>
  <c r="Q62" i="3"/>
  <c r="C38" i="1"/>
  <c r="P75" i="3"/>
  <c r="Q59" i="3"/>
  <c r="R35" i="3"/>
  <c r="R39" i="3" s="1"/>
  <c r="Q70" i="3"/>
  <c r="Q67" i="3"/>
  <c r="R29" i="3"/>
  <c r="R32" i="3" s="1"/>
  <c r="S23" i="3" s="1"/>
  <c r="R30" i="3"/>
  <c r="R33" i="3" s="1"/>
  <c r="S24" i="3" s="1"/>
  <c r="R28" i="3"/>
  <c r="R31" i="3" s="1"/>
  <c r="R43" i="3"/>
  <c r="R11" i="3"/>
  <c r="Q88" i="3"/>
  <c r="Q49" i="3"/>
  <c r="Q50" i="3" s="1"/>
  <c r="R47" i="3" l="1"/>
  <c r="R56" i="3"/>
  <c r="R34" i="3"/>
  <c r="S22" i="3"/>
  <c r="S27" i="3"/>
  <c r="S26" i="3"/>
  <c r="P77" i="3"/>
  <c r="P78" i="3" s="1"/>
  <c r="P80" i="3" s="1"/>
  <c r="P79" i="3"/>
  <c r="Q76" i="3" s="1"/>
  <c r="Q68" i="3"/>
  <c r="Q51" i="3"/>
  <c r="Q52" i="3" s="1"/>
  <c r="Q63" i="3"/>
  <c r="R12" i="3"/>
  <c r="R14" i="3"/>
  <c r="Q87" i="3"/>
  <c r="Q89" i="3" l="1"/>
  <c r="B39" i="1"/>
  <c r="D38" i="1"/>
  <c r="P82" i="3"/>
  <c r="P81" i="3"/>
  <c r="S25" i="3"/>
  <c r="S38" i="3" s="1"/>
  <c r="R85" i="3"/>
  <c r="R86" i="3"/>
  <c r="R44" i="3"/>
  <c r="S19" i="3"/>
  <c r="S21" i="3" s="1"/>
  <c r="S37" i="3"/>
  <c r="R41" i="3"/>
  <c r="R57" i="3" s="1"/>
  <c r="R60" i="3" s="1"/>
  <c r="R15" i="3"/>
  <c r="R36" i="3" s="1"/>
  <c r="R40" i="3" s="1"/>
  <c r="S10" i="3"/>
  <c r="Q64" i="3"/>
  <c r="Q74" i="3" s="1"/>
  <c r="C39" i="1" l="1"/>
  <c r="Q75" i="3"/>
  <c r="R59" i="3"/>
  <c r="S35" i="3"/>
  <c r="S39" i="3" s="1"/>
  <c r="R70" i="3"/>
  <c r="R67" i="3"/>
  <c r="R65" i="3"/>
  <c r="R62" i="3"/>
  <c r="R61" i="3"/>
  <c r="R88" i="3"/>
  <c r="R49" i="3"/>
  <c r="R50" i="3" s="1"/>
  <c r="R87" i="3" s="1"/>
  <c r="R53" i="3"/>
  <c r="S29" i="3"/>
  <c r="S32" i="3" s="1"/>
  <c r="T23" i="3" s="1"/>
  <c r="S30" i="3"/>
  <c r="S33" i="3" s="1"/>
  <c r="T24" i="3" s="1"/>
  <c r="S28" i="3"/>
  <c r="S31" i="3" s="1"/>
  <c r="S43" i="3"/>
  <c r="S11" i="3"/>
  <c r="R63" i="3" l="1"/>
  <c r="R64" i="3" s="1"/>
  <c r="T26" i="3"/>
  <c r="S12" i="3"/>
  <c r="S14" i="3"/>
  <c r="Q77" i="3"/>
  <c r="Q78" i="3" s="1"/>
  <c r="Q80" i="3" s="1"/>
  <c r="Q79" i="3"/>
  <c r="R76" i="3" s="1"/>
  <c r="S56" i="3"/>
  <c r="S47" i="3"/>
  <c r="T22" i="3"/>
  <c r="S34" i="3"/>
  <c r="R68" i="3"/>
  <c r="R51" i="3"/>
  <c r="R52" i="3" s="1"/>
  <c r="T27" i="3"/>
  <c r="R74" i="3" l="1"/>
  <c r="R89" i="3"/>
  <c r="R75" i="3"/>
  <c r="R79" i="3" s="1"/>
  <c r="S76" i="3" s="1"/>
  <c r="B40" i="1"/>
  <c r="C40" i="1"/>
  <c r="D39" i="1"/>
  <c r="Q82" i="3"/>
  <c r="Q81" i="3"/>
  <c r="S86" i="3"/>
  <c r="S44" i="3"/>
  <c r="T25" i="3"/>
  <c r="T38" i="3" s="1"/>
  <c r="T19" i="3"/>
  <c r="T21" i="3" s="1"/>
  <c r="S41" i="3"/>
  <c r="S57" i="3" s="1"/>
  <c r="S60" i="3" s="1"/>
  <c r="T37" i="3"/>
  <c r="T10" i="3"/>
  <c r="S15" i="3"/>
  <c r="S36" i="3" s="1"/>
  <c r="S40" i="3" s="1"/>
  <c r="S85" i="3"/>
  <c r="S65" i="3" l="1"/>
  <c r="S62" i="3"/>
  <c r="S61" i="3"/>
  <c r="S63" i="3" s="1"/>
  <c r="S67" i="3"/>
  <c r="T30" i="3"/>
  <c r="T33" i="3" s="1"/>
  <c r="U24" i="3" s="1"/>
  <c r="T29" i="3"/>
  <c r="T32" i="3" s="1"/>
  <c r="U23" i="3" s="1"/>
  <c r="T28" i="3"/>
  <c r="T31" i="3" s="1"/>
  <c r="R77" i="3"/>
  <c r="R78" i="3" s="1"/>
  <c r="R80" i="3" s="1"/>
  <c r="S88" i="3"/>
  <c r="S49" i="3"/>
  <c r="S50" i="3" s="1"/>
  <c r="S70" i="3"/>
  <c r="S59" i="3"/>
  <c r="T35" i="3"/>
  <c r="T39" i="3" s="1"/>
  <c r="T43" i="3"/>
  <c r="T11" i="3"/>
  <c r="S53" i="3"/>
  <c r="D40" i="1" l="1"/>
  <c r="R82" i="3"/>
  <c r="R81" i="3"/>
  <c r="T56" i="3"/>
  <c r="T47" i="3"/>
  <c r="T34" i="3"/>
  <c r="U22" i="3"/>
  <c r="S68" i="3"/>
  <c r="S51" i="3"/>
  <c r="S52" i="3" s="1"/>
  <c r="U27" i="3"/>
  <c r="S87" i="3"/>
  <c r="U26" i="3"/>
  <c r="T12" i="3"/>
  <c r="T14" i="3"/>
  <c r="S64" i="3"/>
  <c r="S74" i="3" l="1"/>
  <c r="C41" i="1" s="1"/>
  <c r="S89" i="3"/>
  <c r="B41" i="1"/>
  <c r="T85" i="3"/>
  <c r="T86" i="3"/>
  <c r="T44" i="3"/>
  <c r="T53" i="3" s="1"/>
  <c r="U19" i="3"/>
  <c r="U21" i="3" s="1"/>
  <c r="T41" i="3"/>
  <c r="T57" i="3" s="1"/>
  <c r="T60" i="3" s="1"/>
  <c r="U37" i="3"/>
  <c r="T15" i="3"/>
  <c r="T36" i="3" s="1"/>
  <c r="T40" i="3" s="1"/>
  <c r="U10" i="3"/>
  <c r="U25" i="3"/>
  <c r="U38" i="3" s="1"/>
  <c r="S75" i="3" l="1"/>
  <c r="S77" i="3" s="1"/>
  <c r="S78" i="3" s="1"/>
  <c r="S80" i="3" s="1"/>
  <c r="T59" i="3"/>
  <c r="U35" i="3"/>
  <c r="U39" i="3" s="1"/>
  <c r="T70" i="3"/>
  <c r="T67" i="3"/>
  <c r="T65" i="3"/>
  <c r="T62" i="3"/>
  <c r="T61" i="3"/>
  <c r="U43" i="3"/>
  <c r="U11" i="3"/>
  <c r="S79" i="3"/>
  <c r="T76" i="3" s="1"/>
  <c r="U30" i="3"/>
  <c r="U33" i="3" s="1"/>
  <c r="V24" i="3" s="1"/>
  <c r="U28" i="3"/>
  <c r="U31" i="3" s="1"/>
  <c r="U29" i="3"/>
  <c r="U32" i="3" s="1"/>
  <c r="V23" i="3" s="1"/>
  <c r="T88" i="3"/>
  <c r="T49" i="3"/>
  <c r="T50" i="3" s="1"/>
  <c r="U56" i="3" l="1"/>
  <c r="U47" i="3"/>
  <c r="V22" i="3"/>
  <c r="U34" i="3"/>
  <c r="D41" i="1"/>
  <c r="S82" i="3"/>
  <c r="S81" i="3"/>
  <c r="V27" i="3"/>
  <c r="T68" i="3"/>
  <c r="T51" i="3"/>
  <c r="T52" i="3" s="1"/>
  <c r="T87" i="3"/>
  <c r="U12" i="3"/>
  <c r="U14" i="3"/>
  <c r="T63" i="3"/>
  <c r="V26" i="3"/>
  <c r="T89" i="3" l="1"/>
  <c r="B42" i="1"/>
  <c r="T64" i="3"/>
  <c r="T74" i="3" s="1"/>
  <c r="U86" i="3"/>
  <c r="U44" i="3"/>
  <c r="U53" i="3" s="1"/>
  <c r="V25" i="3"/>
  <c r="V38" i="3" s="1"/>
  <c r="U85" i="3"/>
  <c r="V19" i="3"/>
  <c r="V21" i="3" s="1"/>
  <c r="V37" i="3"/>
  <c r="U41" i="3"/>
  <c r="U57" i="3" s="1"/>
  <c r="U60" i="3" s="1"/>
  <c r="U15" i="3"/>
  <c r="U36" i="3" s="1"/>
  <c r="U40" i="3" s="1"/>
  <c r="V10" i="3"/>
  <c r="U65" i="3" l="1"/>
  <c r="U62" i="3"/>
  <c r="U61" i="3"/>
  <c r="U63" i="3" s="1"/>
  <c r="C42" i="1"/>
  <c r="T75" i="3"/>
  <c r="V30" i="3"/>
  <c r="V33" i="3" s="1"/>
  <c r="W24" i="3" s="1"/>
  <c r="V28" i="3"/>
  <c r="V31" i="3" s="1"/>
  <c r="V29" i="3"/>
  <c r="V32" i="3" s="1"/>
  <c r="W23" i="3" s="1"/>
  <c r="U59" i="3"/>
  <c r="V35" i="3"/>
  <c r="V39" i="3" s="1"/>
  <c r="U70" i="3"/>
  <c r="V43" i="3"/>
  <c r="V11" i="3"/>
  <c r="U88" i="3"/>
  <c r="U49" i="3"/>
  <c r="U50" i="3" s="1"/>
  <c r="U87" i="3" s="1"/>
  <c r="U67" i="3"/>
  <c r="V56" i="3" l="1"/>
  <c r="V47" i="3"/>
  <c r="W22" i="3"/>
  <c r="V34" i="3"/>
  <c r="W26" i="3"/>
  <c r="V12" i="3"/>
  <c r="V14" i="3"/>
  <c r="W27" i="3"/>
  <c r="T77" i="3"/>
  <c r="T78" i="3" s="1"/>
  <c r="T80" i="3" s="1"/>
  <c r="T79" i="3"/>
  <c r="U76" i="3" s="1"/>
  <c r="U64" i="3"/>
  <c r="U68" i="3"/>
  <c r="U51" i="3"/>
  <c r="U52" i="3" s="1"/>
  <c r="U74" i="3" l="1"/>
  <c r="C43" i="1" s="1"/>
  <c r="U89" i="3"/>
  <c r="U75" i="3"/>
  <c r="B43" i="1"/>
  <c r="D42" i="1"/>
  <c r="T81" i="3"/>
  <c r="T82" i="3"/>
  <c r="W19" i="3"/>
  <c r="W21" i="3" s="1"/>
  <c r="V41" i="3"/>
  <c r="V57" i="3" s="1"/>
  <c r="V60" i="3" s="1"/>
  <c r="W37" i="3"/>
  <c r="V15" i="3"/>
  <c r="V36" i="3" s="1"/>
  <c r="V40" i="3" s="1"/>
  <c r="W10" i="3"/>
  <c r="W25" i="3"/>
  <c r="W38" i="3" s="1"/>
  <c r="V86" i="3"/>
  <c r="V44" i="3"/>
  <c r="V85" i="3"/>
  <c r="V65" i="3" l="1"/>
  <c r="V62" i="3"/>
  <c r="V61" i="3"/>
  <c r="V63" i="3" s="1"/>
  <c r="V59" i="3"/>
  <c r="W35" i="3"/>
  <c r="W39" i="3" s="1"/>
  <c r="V87" i="3"/>
  <c r="V70" i="3"/>
  <c r="V67" i="3"/>
  <c r="V88" i="3"/>
  <c r="V49" i="3"/>
  <c r="V50" i="3" s="1"/>
  <c r="W43" i="3"/>
  <c r="W11" i="3"/>
  <c r="U77" i="3"/>
  <c r="U78" i="3" s="1"/>
  <c r="U80" i="3" s="1"/>
  <c r="U79" i="3"/>
  <c r="V76" i="3" s="1"/>
  <c r="W30" i="3"/>
  <c r="W33" i="3" s="1"/>
  <c r="X24" i="3" s="1"/>
  <c r="W28" i="3"/>
  <c r="W31" i="3" s="1"/>
  <c r="W29" i="3"/>
  <c r="W32" i="3" s="1"/>
  <c r="X23" i="3" s="1"/>
  <c r="V53" i="3"/>
  <c r="D43" i="1" l="1"/>
  <c r="U82" i="3"/>
  <c r="U81" i="3"/>
  <c r="W47" i="3"/>
  <c r="W56" i="3"/>
  <c r="W34" i="3"/>
  <c r="X22" i="3"/>
  <c r="W12" i="3"/>
  <c r="W14" i="3"/>
  <c r="X26" i="3"/>
  <c r="V64" i="3"/>
  <c r="V68" i="3"/>
  <c r="V51" i="3"/>
  <c r="V52" i="3"/>
  <c r="X27" i="3"/>
  <c r="V74" i="3" l="1"/>
  <c r="C44" i="1" s="1"/>
  <c r="V89" i="3"/>
  <c r="V75" i="3"/>
  <c r="B44" i="1"/>
  <c r="W85" i="3"/>
  <c r="X19" i="3"/>
  <c r="X21" i="3" s="1"/>
  <c r="X10" i="3"/>
  <c r="X37" i="3"/>
  <c r="W15" i="3"/>
  <c r="W36" i="3" s="1"/>
  <c r="W40" i="3" s="1"/>
  <c r="W41" i="3"/>
  <c r="W57" i="3" s="1"/>
  <c r="W60" i="3" s="1"/>
  <c r="X25" i="3"/>
  <c r="X38" i="3" s="1"/>
  <c r="W86" i="3"/>
  <c r="W44" i="3"/>
  <c r="W53" i="3" s="1"/>
  <c r="W59" i="3" l="1"/>
  <c r="X35" i="3"/>
  <c r="X39" i="3" s="1"/>
  <c r="W87" i="3"/>
  <c r="W70" i="3"/>
  <c r="W67" i="3"/>
  <c r="W65" i="3"/>
  <c r="W62" i="3"/>
  <c r="W61" i="3"/>
  <c r="W63" i="3" s="1"/>
  <c r="W88" i="3"/>
  <c r="W49" i="3"/>
  <c r="W50" i="3" s="1"/>
  <c r="V77" i="3"/>
  <c r="V78" i="3" s="1"/>
  <c r="V80" i="3" s="1"/>
  <c r="V79" i="3"/>
  <c r="W76" i="3" s="1"/>
  <c r="X43" i="3"/>
  <c r="X11" i="3"/>
  <c r="X28" i="3"/>
  <c r="X31" i="3" s="1"/>
  <c r="X29" i="3"/>
  <c r="X32" i="3" s="1"/>
  <c r="Y23" i="3" s="1"/>
  <c r="X30" i="3"/>
  <c r="X33" i="3" s="1"/>
  <c r="Y24" i="3" s="1"/>
  <c r="X47" i="3" l="1"/>
  <c r="X56" i="3"/>
  <c r="X34" i="3"/>
  <c r="Y22" i="3"/>
  <c r="D44" i="1"/>
  <c r="V82" i="3"/>
  <c r="V81" i="3"/>
  <c r="X12" i="3"/>
  <c r="X14" i="3"/>
  <c r="W64" i="3"/>
  <c r="Y27" i="3"/>
  <c r="W51" i="3"/>
  <c r="W52" i="3"/>
  <c r="W68" i="3"/>
  <c r="Y26" i="3"/>
  <c r="W74" i="3" l="1"/>
  <c r="C45" i="1" s="1"/>
  <c r="Y25" i="3"/>
  <c r="Y38" i="3" s="1"/>
  <c r="X86" i="3"/>
  <c r="X44" i="3"/>
  <c r="X53" i="3" s="1"/>
  <c r="W89" i="3"/>
  <c r="B45" i="1"/>
  <c r="X85" i="3"/>
  <c r="Y19" i="3"/>
  <c r="Y21" i="3" s="1"/>
  <c r="X15" i="3"/>
  <c r="X36" i="3" s="1"/>
  <c r="X40" i="3" s="1"/>
  <c r="X41" i="3"/>
  <c r="X57" i="3" s="1"/>
  <c r="X60" i="3" s="1"/>
  <c r="Y37" i="3"/>
  <c r="Y10" i="3"/>
  <c r="W75" i="3" l="1"/>
  <c r="X65" i="3"/>
  <c r="X62" i="3"/>
  <c r="X61" i="3"/>
  <c r="X63" i="3" s="1"/>
  <c r="X59" i="3"/>
  <c r="Y35" i="3"/>
  <c r="Y39" i="3" s="1"/>
  <c r="X87" i="3"/>
  <c r="X67" i="3"/>
  <c r="X70" i="3"/>
  <c r="Y43" i="3"/>
  <c r="Y11" i="3"/>
  <c r="W77" i="3"/>
  <c r="W78" i="3" s="1"/>
  <c r="W80" i="3" s="1"/>
  <c r="W79" i="3"/>
  <c r="X76" i="3" s="1"/>
  <c r="Y28" i="3"/>
  <c r="Y31" i="3" s="1"/>
  <c r="Y29" i="3"/>
  <c r="Y32" i="3" s="1"/>
  <c r="Z23" i="3" s="1"/>
  <c r="Y30" i="3"/>
  <c r="Y33" i="3" s="1"/>
  <c r="Z24" i="3" s="1"/>
  <c r="X88" i="3"/>
  <c r="X49" i="3"/>
  <c r="X50" i="3" s="1"/>
  <c r="D45" i="1" l="1"/>
  <c r="W81" i="3"/>
  <c r="W82" i="3"/>
  <c r="Z26" i="3"/>
  <c r="Y47" i="3"/>
  <c r="Y56" i="3"/>
  <c r="Y34" i="3"/>
  <c r="Z22" i="3"/>
  <c r="X64" i="3"/>
  <c r="X51" i="3"/>
  <c r="X52" i="3"/>
  <c r="X68" i="3"/>
  <c r="Y12" i="3"/>
  <c r="Y14" i="3"/>
  <c r="Z27" i="3"/>
  <c r="X74" i="3" l="1"/>
  <c r="C46" i="1" s="1"/>
  <c r="Z19" i="3"/>
  <c r="Z21" i="3" s="1"/>
  <c r="Y15" i="3"/>
  <c r="Y36" i="3" s="1"/>
  <c r="Y40" i="3" s="1"/>
  <c r="Z37" i="3"/>
  <c r="Z10" i="3"/>
  <c r="Y41" i="3"/>
  <c r="Y57" i="3" s="1"/>
  <c r="Y60" i="3" s="1"/>
  <c r="X89" i="3"/>
  <c r="B46" i="1"/>
  <c r="Z25" i="3"/>
  <c r="Z38" i="3" s="1"/>
  <c r="Y85" i="3"/>
  <c r="Y86" i="3"/>
  <c r="Y44" i="3"/>
  <c r="X75" i="3" l="1"/>
  <c r="Y59" i="3"/>
  <c r="Z35" i="3"/>
  <c r="Z39" i="3" s="1"/>
  <c r="Y70" i="3"/>
  <c r="Y67" i="3"/>
  <c r="Y88" i="3"/>
  <c r="Y49" i="3"/>
  <c r="Y50" i="3" s="1"/>
  <c r="Y87" i="3" s="1"/>
  <c r="Y53" i="3"/>
  <c r="Z43" i="3"/>
  <c r="C22" i="1" s="1"/>
  <c r="D22" i="1" s="1"/>
  <c r="Z11" i="3"/>
  <c r="X77" i="3"/>
  <c r="X78" i="3" s="1"/>
  <c r="X80" i="3" s="1"/>
  <c r="X79" i="3"/>
  <c r="Y76" i="3" s="1"/>
  <c r="Y65" i="3"/>
  <c r="Y62" i="3"/>
  <c r="Y61" i="3"/>
  <c r="Y63" i="3" s="1"/>
  <c r="Z29" i="3"/>
  <c r="Z32" i="3" s="1"/>
  <c r="Z30" i="3"/>
  <c r="Z33" i="3" s="1"/>
  <c r="Z28" i="3"/>
  <c r="Z31" i="3" s="1"/>
  <c r="D46" i="1" l="1"/>
  <c r="X81" i="3"/>
  <c r="X82" i="3"/>
  <c r="Z47" i="3"/>
  <c r="Z56" i="3"/>
  <c r="Z34" i="3"/>
  <c r="Y68" i="3"/>
  <c r="Y51" i="3"/>
  <c r="Y52" i="3" s="1"/>
  <c r="D13" i="1"/>
  <c r="Z12" i="3"/>
  <c r="Z14" i="3"/>
  <c r="C21" i="1"/>
  <c r="D21" i="1" s="1"/>
  <c r="Y64" i="3"/>
  <c r="Y74" i="3" l="1"/>
  <c r="C47" i="1" s="1"/>
  <c r="Z41" i="3"/>
  <c r="Z57" i="3" s="1"/>
  <c r="Z60" i="3" s="1"/>
  <c r="Z15" i="3"/>
  <c r="Z86" i="3"/>
  <c r="D8" i="1"/>
  <c r="Z44" i="3"/>
  <c r="Z53" i="3" s="1"/>
  <c r="Z85" i="3"/>
  <c r="Z36" i="3"/>
  <c r="Z40" i="3" s="1"/>
  <c r="D7" i="1"/>
  <c r="C17" i="1"/>
  <c r="D17" i="1" s="1"/>
  <c r="Y89" i="3"/>
  <c r="Y75" i="3"/>
  <c r="B47" i="1"/>
  <c r="Z65" i="3" l="1"/>
  <c r="Z62" i="3"/>
  <c r="Z61" i="3"/>
  <c r="Z63" i="3" s="1"/>
  <c r="Z67" i="3"/>
  <c r="Z70" i="3"/>
  <c r="Z59" i="3"/>
  <c r="Y77" i="3"/>
  <c r="Y78" i="3" s="1"/>
  <c r="Y80" i="3" s="1"/>
  <c r="Y79" i="3"/>
  <c r="Z76" i="3" s="1"/>
  <c r="Z88" i="3"/>
  <c r="Z49" i="3"/>
  <c r="Z50" i="3" s="1"/>
  <c r="Z87" i="3" s="1"/>
  <c r="D47" i="1" l="1"/>
  <c r="Y82" i="3"/>
  <c r="Y81" i="3"/>
  <c r="Z68" i="3"/>
  <c r="Z51" i="3"/>
  <c r="Z52" i="3" s="1"/>
  <c r="Z64" i="3"/>
  <c r="Z74" i="3" s="1"/>
  <c r="C48" i="1" l="1"/>
  <c r="D10" i="1"/>
  <c r="C19" i="1"/>
  <c r="D19" i="1" s="1"/>
  <c r="Z89" i="3"/>
  <c r="Z75" i="3"/>
  <c r="B48" i="1"/>
  <c r="D9" i="1"/>
  <c r="C18" i="1"/>
  <c r="D18" i="1" s="1"/>
  <c r="Z77" i="3" l="1"/>
  <c r="Z78" i="3" s="1"/>
  <c r="Z80" i="3" s="1"/>
  <c r="Z79" i="3"/>
  <c r="D11" i="1" l="1"/>
  <c r="D48" i="1"/>
  <c r="C20" i="1"/>
  <c r="D20" i="1" s="1"/>
  <c r="Z82" i="3"/>
  <c r="Z81" i="3"/>
  <c r="D12" i="1" s="1"/>
</calcChain>
</file>

<file path=xl/sharedStrings.xml><?xml version="1.0" encoding="utf-8"?>
<sst xmlns="http://schemas.openxmlformats.org/spreadsheetml/2006/main" count="648" uniqueCount="368">
  <si>
    <t>온라인 강의 요약 서비스 · 24개월 사업모델</t>
  </si>
  <si>
    <t>노란 셀을 바꾸면 월별 전망과 아래 차트가 함께 갱신됩니다. 숫자는 실측 매출이 아닌 계획 시나리오입니다.</t>
  </si>
  <si>
    <t>지표</t>
  </si>
  <si>
    <t>M6</t>
  </si>
  <si>
    <t>M12</t>
  </si>
  <si>
    <t>M24</t>
  </si>
  <si>
    <t>월 신규 가입</t>
  </si>
  <si>
    <t>기말 유료 고객</t>
  </si>
  <si>
    <t>월 순매출 (VAT 제외)</t>
  </si>
  <si>
    <t>월 전체 비용</t>
  </si>
  <si>
    <t>월 순이익</t>
  </si>
  <si>
    <t>누적 순이익</t>
  </si>
  <si>
    <t>추천 신규 가입</t>
  </si>
  <si>
    <t>기간 합계</t>
  </si>
  <si>
    <t>1~12개월</t>
  </si>
  <si>
    <t>13~24개월</t>
  </si>
  <si>
    <t>24개월 합계</t>
  </si>
  <si>
    <t>신규 가입</t>
  </si>
  <si>
    <t>순매출</t>
  </si>
  <si>
    <t>전체 비용</t>
  </si>
  <si>
    <t>순이익</t>
  </si>
  <si>
    <t>추천 가입</t>
  </si>
  <si>
    <t>추천 무료월 획득</t>
  </si>
  <si>
    <t>월별 매출 · 비용 · 순이익 (원)</t>
  </si>
  <si>
    <t>모델 적용 규칙</t>
  </si>
  <si>
    <t>월</t>
  </si>
  <si>
    <t>M1</t>
  </si>
  <si>
    <t>사전예약 첫달 무료와 일반 14일 체험은 중복하지 않습니다.</t>
  </si>
  <si>
    <t>M2</t>
  </si>
  <si>
    <t>카드 등록 고객의 무료 기간 종료 후, 다음 달 유료 전환을 근사합니다.</t>
  </si>
  <si>
    <t>M3</t>
  </si>
  <si>
    <t>추천 보상은 동일인이 코드 2개를 보내 둘 다 카드 체험을 시작해야 발생합니다.</t>
  </si>
  <si>
    <t>M4</t>
  </si>
  <si>
    <t>추천 무료월은 다음 달 사용, 미사용분 만료로 단순화했습니다.</t>
  </si>
  <si>
    <t>M5</t>
  </si>
  <si>
    <t>오가닉 고객은 추천 코드 발급 대상에 포함하지 않았습니다.</t>
  </si>
  <si>
    <t>음성 인식은 기기 내 처리. 외부 AI 요약은 텍스트 토큰 비용만 포함합니다.</t>
  </si>
  <si>
    <t>M7</t>
  </si>
  <si>
    <t>비전 엔진 비용은 기본 0. 사용하려면 동의 비중과 실측 원가를 입력하세요.</t>
  </si>
  <si>
    <t>M8</t>
  </si>
  <si>
    <t>매출은 VAT 제외, 고객 결제액과 카드 수수료는 VAT 포함 금액 기준입니다.</t>
  </si>
  <si>
    <t>M9</t>
  </si>
  <si>
    <t>법인세는 월간 추정과 이월결손금 단순 적용. 실제 신고 세액과 다를 수 있습니다.</t>
  </si>
  <si>
    <t>M10</t>
  </si>
  <si>
    <t>M11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</si>
  <si>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</si>
  <si>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</si>
  <si>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</si>
  <si>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</si>
  <si>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</si>
  <si>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</si>
  <si>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</si>
  <si>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</si>
  <si>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</si>
  <si>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</si>
  <si>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</si>
  <si>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사업모델 가정과 조절값</t>
  </si>
  <si>
    <t>조절 항목</t>
  </si>
  <si>
    <t>단위</t>
  </si>
  <si>
    <t>값</t>
  </si>
  <si>
    <t>근거 구분</t>
  </si>
  <si>
    <t>출처 ID</t>
  </si>
  <si>
    <t>정의 / 바꿀 때 확인할 점</t>
  </si>
  <si>
    <t>출시 후 1개월</t>
  </si>
  <si>
    <t>출시 후 2개월</t>
  </si>
  <si>
    <t>출시 후 3개월</t>
  </si>
  <si>
    <t>출시 후 4개월</t>
  </si>
  <si>
    <t>출시 후 5개월</t>
  </si>
  <si>
    <t>출시 후 6개월</t>
  </si>
  <si>
    <t>출시 후 7개월</t>
  </si>
  <si>
    <t>출시 후 8개월</t>
  </si>
  <si>
    <t>출시 후 9개월</t>
  </si>
  <si>
    <t>출시 후 10개월</t>
  </si>
  <si>
    <t>출시 후 11개월</t>
  </si>
  <si>
    <t>출시 후 12개월</t>
  </si>
  <si>
    <t>상품 · 체험 · 추천 규칙</t>
  </si>
  <si>
    <t>오가닉 계절 계수</t>
  </si>
  <si>
    <t>Essential 월 가격</t>
  </si>
  <si>
    <t>원</t>
  </si>
  <si>
    <t>사용자</t>
  </si>
  <si>
    <t>U</t>
  </si>
  <si>
    <t>부가세 포함 소비자 표시가</t>
  </si>
  <si>
    <t>Essential 학생가</t>
  </si>
  <si>
    <t>학생 인증 시 같은 기능</t>
  </si>
  <si>
    <t>Pro 월 가격</t>
  </si>
  <si>
    <t>2년차에도 같은 계수를 반복합니다. 방학·개강 효과는 실측 후 입력하세요.</t>
  </si>
  <si>
    <t>일반 무료체험 기간</t>
  </si>
  <si>
    <t>일</t>
  </si>
  <si>
    <t>30일 이하는 다음 달 전환, 더 길면 해당 개월 수만큼 지연</t>
  </si>
  <si>
    <t>체험 최대 이용량</t>
  </si>
  <si>
    <t>분</t>
  </si>
  <si>
    <t>체험 사용량에 상한 적용</t>
  </si>
  <si>
    <t>가격 비중 합계</t>
  </si>
  <si>
    <t>1인당 초대 코드</t>
  </si>
  <si>
    <t>개</t>
  </si>
  <si>
    <t>추천 보상은 두 코드가 모두 인정될 때 지급</t>
  </si>
  <si>
    <t>사전예약 첫달 무료</t>
  </si>
  <si>
    <t>개월</t>
  </si>
  <si>
    <t>카드 등록을 완료한 유료 플랜 이용자</t>
  </si>
  <si>
    <t>추천 보상 무료 기간</t>
  </si>
  <si>
    <t>한 추천인이 코드 2개 모두 달성 시 1회 지급</t>
  </si>
  <si>
    <t>신규 유입 · 무료체험 전환</t>
  </si>
  <si>
    <t>출시 시 사전예약자</t>
  </si>
  <si>
    <t>명</t>
  </si>
  <si>
    <t>가정</t>
  </si>
  <si>
    <t>A</t>
  </si>
  <si>
    <t>현재 웨이트리스트 실측값으로 교체</t>
  </si>
  <si>
    <t>사전예약 → 계정 가입</t>
  </si>
  <si>
    <t>%</t>
  </si>
  <si>
    <t>사전예약자 중 출시 후 가입 비중</t>
  </si>
  <si>
    <t>사전예약 가입 → 카드 등록</t>
  </si>
  <si>
    <t>첫달 무료 혜택 시작 비중</t>
  </si>
  <si>
    <t>출시 첫달 오가닉 가입</t>
  </si>
  <si>
    <t>광고·추천 제외. 실측 획득 채널로 교체</t>
  </si>
  <si>
    <t>오가닉 월 성장률</t>
  </si>
  <si>
    <t>아래 학사시즌 계수와 별도 적용</t>
  </si>
  <si>
    <t>오가닉 가입 → 카드 체험</t>
  </si>
  <si>
    <t>B1</t>
  </si>
  <si>
    <t>체험→유료 전환과 곱해야 가입→유료</t>
  </si>
  <si>
    <t>추천 자격자 중 두 코드 공유</t>
  </si>
  <si>
    <t>참고 기반 가정</t>
  </si>
  <si>
    <t>B3</t>
  </si>
  <si>
    <t>추천으로 유입된 고객의 공유율 참고. 본 제품 실측 아님</t>
  </si>
  <si>
    <t>초대 코드 수신 → 가입</t>
  </si>
  <si>
    <t>공유한 각 코드의 가입 확률</t>
  </si>
  <si>
    <t>추천 가입 → 카드 체험</t>
  </si>
  <si>
    <t>카드 등록 후 무료체험 시작이 추천 인정 조건</t>
  </si>
  <si>
    <t>오가닉 카드 체험 → 유료</t>
  </si>
  <si>
    <t>가입→유료 8.75%. 조사 수치는 6개월 기준이라 직접 비교 불가</t>
  </si>
  <si>
    <t>추천 카드 체험 → 유료</t>
  </si>
  <si>
    <t>체험 완료 다음 달부터 유료 과금</t>
  </si>
  <si>
    <t>사전예약 첫달 무료 → 유료</t>
  </si>
  <si>
    <t>무료 한 달 후 첫 결제 성공률</t>
  </si>
  <si>
    <t>기존 고객 유지 · 가격 구성</t>
  </si>
  <si>
    <t>Essential 월 유료 이탈률</t>
  </si>
  <si>
    <t>벤치마크</t>
  </si>
  <si>
    <t>B2</t>
  </si>
  <si>
    <t>저가 SaaS의 월 고객 이탈률 6.1~6.4% 참고</t>
  </si>
  <si>
    <t>학생가 월 유료 이탈률</t>
  </si>
  <si>
    <t>방학 영향 미반영. 학사시즌 계수 조정 권장</t>
  </si>
  <si>
    <t>Pro 월 유료 이탈률</t>
  </si>
  <si>
    <t>계약/실측 전까지 동일 기본값</t>
  </si>
  <si>
    <t>Free 월 비활성 이탈률</t>
  </si>
  <si>
    <t>Free 계정 활성 사용자 재고의 이탈</t>
  </si>
  <si>
    <t>유료 이탈 → Free 잔류</t>
  </si>
  <si>
    <t>유료 해지 후 무료 사용자는 Free 재고로 이동</t>
  </si>
  <si>
    <t>신규 유료 Essential 비중</t>
  </si>
  <si>
    <t>학생가·Pro 비중과 합계 100%</t>
  </si>
  <si>
    <t>신규 유료 학생가 비중</t>
  </si>
  <si>
    <t>학생 타깃 특성 반영한 초기 가정</t>
  </si>
  <si>
    <t>신규 유료 Pro 비중</t>
  </si>
  <si>
    <t>나머지와 합계 100%</t>
  </si>
  <si>
    <t>다음달 추천 보상 사용률</t>
  </si>
  <si>
    <t>미사용분은 만료. 유료 구독 지속 여부 근사</t>
  </si>
  <si>
    <t>활동량 · 추론 비용</t>
  </si>
  <si>
    <t>Essential 유료 월 평균 강의</t>
  </si>
  <si>
    <t>제공 한도가 아닌 실제 평균 사용량</t>
  </si>
  <si>
    <t>학생가 유료 월 평균 강의</t>
  </si>
  <si>
    <t>Pro 유료 월 평균 강의</t>
  </si>
  <si>
    <t>체험 1인 평균 강의</t>
  </si>
  <si>
    <t>200분 체험 상한 적용</t>
  </si>
  <si>
    <t>사전예약 무료월 평균 강의</t>
  </si>
  <si>
    <t>첫 달은 유료 플랜 기능 이용</t>
  </si>
  <si>
    <t>Free 월 평균 강의</t>
  </si>
  <si>
    <t>기본은 기기 내 처리, 외부 LLM 0</t>
  </si>
  <si>
    <t>유료·체험 강의의 외부 AI 요약 비중</t>
  </si>
  <si>
    <t>사용자가 별도 동의한 텍스트 요약만 포함</t>
  </si>
  <si>
    <t>강의 1분당 입력 토큰</t>
  </si>
  <si>
    <t>토큰</t>
  </si>
  <si>
    <t>자막·OCR·프롬프트 합계. 실측 API 로그로 교체</t>
  </si>
  <si>
    <t>강의 1분당 출력 토큰</t>
  </si>
  <si>
    <t>노트 출력. 실측 API 로그로 교체</t>
  </si>
  <si>
    <t>재시도·부가 호출 배수</t>
  </si>
  <si>
    <t>배</t>
  </si>
  <si>
    <t>요약 단계 수와 실패 재시도 포함</t>
  </si>
  <si>
    <t>Gemini 3.8 Flash 사용 비중</t>
  </si>
  <si>
    <t>나머지는 Flash Lite. 실제 기본 모델은 Flash Lite</t>
  </si>
  <si>
    <t>Flash Lite 입력 USD/100만 토큰</t>
  </si>
  <si>
    <t>USD</t>
  </si>
  <si>
    <t>공식 요금</t>
  </si>
  <si>
    <t>P3</t>
  </si>
  <si>
    <t>OpenRouter Google Vertex 공개 단가</t>
  </si>
  <si>
    <t>Flash Lite 출력 USD/100만 토큰</t>
  </si>
  <si>
    <t>3.8 Flash 입력 USD/100만 토큰</t>
  </si>
  <si>
    <t>보수적 가정</t>
  </si>
  <si>
    <t>P4</t>
  </si>
  <si>
    <t>50% 한시 할인 이전 정가로 계획</t>
  </si>
  <si>
    <t>3.8 Flash 출력 USD/100만 토큰</t>
  </si>
  <si>
    <t>OpenRouter 충전 수수료</t>
  </si>
  <si>
    <t>P5</t>
  </si>
  <si>
    <t>크레딧 구매 수수료를 API 소비액에 비례 배분</t>
  </si>
  <si>
    <t>USD/KRW 계획 환율</t>
  </si>
  <si>
    <t>시장 실시간 환율 아님. 환율 변동 민감도 조절</t>
  </si>
  <si>
    <t>유료 비전 엔진 선택 비중</t>
  </si>
  <si>
    <t>별도 동의 및 프레임 전송 조건. 기본 0</t>
  </si>
  <si>
    <t>비전 엔진 1분당 원가</t>
  </si>
  <si>
    <t>미측정</t>
  </si>
  <si>
    <t>프레임/토큰 실측 전에는 0. 원가가 누락될 수 있음</t>
  </si>
  <si>
    <t>호스팅 · 결제 · 판관비 · 세금</t>
  </si>
  <si>
    <t>Vercel Pro 기본료</t>
  </si>
  <si>
    <t>P1</t>
  </si>
  <si>
    <t>월 20달러 플랫폼 요금. 사용량 크레딧 포함</t>
  </si>
  <si>
    <t>Vercel 월 초과 사용료</t>
  </si>
  <si>
    <t>트래픽별 초과액을 실제 청구서로 입력</t>
  </si>
  <si>
    <t>Supabase Pro 기본료</t>
  </si>
  <si>
    <t>P2</t>
  </si>
  <si>
    <t>첫 프로젝트 기본료</t>
  </si>
  <si>
    <t>Supabase 10만 MAU 초과 단가</t>
  </si>
  <si>
    <t>활성 사용자 수에 적용. 기타 초과는 별도</t>
  </si>
  <si>
    <t>Supabase 기타 초과 사용료</t>
  </si>
  <si>
    <t>DB·전송량·스토리지 초과액 입력</t>
  </si>
  <si>
    <t>카드 결제 비율 수수료</t>
  </si>
  <si>
    <t>참고 단가</t>
  </si>
  <si>
    <t>P6</t>
  </si>
  <si>
    <t>토스 일반카드 요율. 구독 자동결제 계약 시 확인</t>
  </si>
  <si>
    <t>PG 가입비</t>
  </si>
  <si>
    <t>첫 달 1회 반영. 계약별 변경 가능</t>
  </si>
  <si>
    <t>PG 연관리비</t>
  </si>
  <si>
    <t>1개월과 13개월 반영</t>
  </si>
  <si>
    <t>활성 계정당 월 지원 비용</t>
  </si>
  <si>
    <t>인원 수 증가에 따른 지원·운영 변동비</t>
  </si>
  <si>
    <t>월 마케팅비</t>
  </si>
  <si>
    <t>유료 광고·콘텐츠 제작 등. 오가닉과 비용 혼동 금지</t>
  </si>
  <si>
    <t>월 인건비</t>
  </si>
  <si>
    <t>창업자 보수 포함 가상값. 실제 인건비로 교체</t>
  </si>
  <si>
    <t>기타 월 판관비</t>
  </si>
  <si>
    <t>법무·소프트웨어·운영비</t>
  </si>
  <si>
    <t>소비자 가격 포함 부가세율</t>
  </si>
  <si>
    <t>공식 세율</t>
  </si>
  <si>
    <t>P7</t>
  </si>
  <si>
    <t>매출을 공급가액과 부가세로 분리</t>
  </si>
  <si>
    <t>법인세 추정률</t>
  </si>
  <si>
    <t>단순화</t>
  </si>
  <si>
    <t>P8</t>
  </si>
  <si>
    <t>2억원 이하 구간 예시. 월 손실이월 단순 근사</t>
  </si>
  <si>
    <t>24개월 월별 가입 · 매출 · 손익</t>
  </si>
  <si>
    <t>유입 · 카드 등록</t>
  </si>
  <si>
    <t>출시 시 사전예약 명단</t>
  </si>
  <si>
    <t>사전예약 → 실제 가입</t>
  </si>
  <si>
    <t>사전예약 카드 등록 · 첫달 무료</t>
  </si>
  <si>
    <t>오가닉 신규 가입</t>
  </si>
  <si>
    <t>추천 코드 2개 공유자</t>
  </si>
  <si>
    <t>추천 코드 신규 가입</t>
  </si>
  <si>
    <t>추천 카드 등록 체험</t>
  </si>
  <si>
    <t>오가닉 카드 등록 체험</t>
  </si>
  <si>
    <t>전체 신규 가입</t>
  </si>
  <si>
    <t>신규 카드 등록</t>
  </si>
  <si>
    <t>가입 전환 · 고객 유지</t>
  </si>
  <si>
    <t>오가닉 신규 유료</t>
  </si>
  <si>
    <t>추천 신규 유료</t>
  </si>
  <si>
    <t>사전예약 무료월 후 유료</t>
  </si>
  <si>
    <t>전체 신규 유료</t>
  </si>
  <si>
    <t>Essential 기초 유료</t>
  </si>
  <si>
    <t>학생가 기초 유료</t>
  </si>
  <si>
    <t>Pro 기초 유료</t>
  </si>
  <si>
    <t>Essential 이탈</t>
  </si>
  <si>
    <t>학생가 이탈</t>
  </si>
  <si>
    <t>Pro 이탈</t>
  </si>
  <si>
    <t>Essential 신규 유료</t>
  </si>
  <si>
    <t>학생가 신규 유료</t>
  </si>
  <si>
    <t>Pro 신규 유료</t>
  </si>
  <si>
    <t>Essential 기말 유료</t>
  </si>
  <si>
    <t>학생가 기말 유료</t>
  </si>
  <si>
    <t>Pro 기말 유료</t>
  </si>
  <si>
    <t>전체 기말 유료</t>
  </si>
  <si>
    <t>Free 기초 활성</t>
  </si>
  <si>
    <t>카드 미등록 신규 Free</t>
  </si>
  <si>
    <t>체험/무료월 종료 후 Free</t>
  </si>
  <si>
    <t>유료 이탈 후 Free</t>
  </si>
  <si>
    <t>Free 비활성 이탈</t>
  </si>
  <si>
    <t>Free 기말 활성</t>
  </si>
  <si>
    <t>일반 체험 활성</t>
  </si>
  <si>
    <t>사전예약 첫달 무료 활성</t>
  </si>
  <si>
    <t>추천 2건 달성 · 무료월 획득</t>
  </si>
  <si>
    <t>추천 무료월 사용</t>
  </si>
  <si>
    <t>매출</t>
  </si>
  <si>
    <t>유료 서비스 정가 총액 (VAT 포함)</t>
  </si>
  <si>
    <t>사전예약 첫달 할인 (VAT 포함)</t>
  </si>
  <si>
    <t>추천 무료월 할인 (VAT 포함)</t>
  </si>
  <si>
    <t>고객 결제액 (VAT 포함)</t>
  </si>
  <si>
    <t>매출 부가세 분리</t>
  </si>
  <si>
    <t>순매출 (VAT 제외)</t>
  </si>
  <si>
    <t>실제 결제 고객 수</t>
  </si>
  <si>
    <t>사용량 · 원가 · 손익</t>
  </si>
  <si>
    <t>유료 고객 강의 이용량</t>
  </si>
  <si>
    <t>일반 무료체험 강의 이용량</t>
  </si>
  <si>
    <t>사전예약 무료월 강의 이용량</t>
  </si>
  <si>
    <t>Free 로컬 강의 이용량</t>
  </si>
  <si>
    <t>외부 AI 요약 강의량</t>
  </si>
  <si>
    <t>LLM 입력 토큰</t>
  </si>
  <si>
    <t>LLM 출력 토큰</t>
  </si>
  <si>
    <t>LLM API 사용 원가</t>
  </si>
  <si>
    <t>OpenRouter 충전 수수료 배분</t>
  </si>
  <si>
    <t>동의 기반 비전 비용</t>
  </si>
  <si>
    <t>Vercel 비용</t>
  </si>
  <si>
    <t>Supabase 비용</t>
  </si>
  <si>
    <t>결제 변동 수수료</t>
  </si>
  <si>
    <t>PG 가입비 · 연관리비</t>
  </si>
  <si>
    <t>고객 지원 변동비</t>
  </si>
  <si>
    <t>마케팅비</t>
  </si>
  <si>
    <t>인건비</t>
  </si>
  <si>
    <t>기타 판관비</t>
  </si>
  <si>
    <t>전체 영업비용</t>
  </si>
  <si>
    <t>세전 이익</t>
  </si>
  <si>
    <t>기초 이월결손금</t>
  </si>
  <si>
    <t>추정 과세소득</t>
  </si>
  <si>
    <t>추정 법인세</t>
  </si>
  <si>
    <t>기말 이월결손금</t>
  </si>
  <si>
    <t>추정 순이익</t>
  </si>
  <si>
    <t>순이익률</t>
  </si>
  <si>
    <t>검증: 정상은 모두 0</t>
  </si>
  <si>
    <t>가입 경로 합계 차이</t>
  </si>
  <si>
    <t>유료 고객 롤포워드 차이</t>
  </si>
  <si>
    <t>음수 고객 수 검사</t>
  </si>
  <si>
    <t>추천 보상 상한 차이</t>
  </si>
  <si>
    <t>매출·결제액 대사 차이</t>
  </si>
  <si>
    <t>출처 · 산식 · 확인할 실측값</t>
  </si>
  <si>
    <t>ID</t>
  </si>
  <si>
    <t>자료 / 정의</t>
  </si>
  <si>
    <t>확인값</t>
  </si>
  <si>
    <t>직접 URL</t>
  </si>
  <si>
    <t>사용자 지정 가격·무료 혜택</t>
  </si>
  <si>
    <t>Free 0 / Essential 21,900 / 학생 12,900 / Pro 28,900; 14일 200분; 예약 첫달 무료; 2명 추천 1달 추가</t>
  </si>
  <si>
    <t>이 대화의 사용자 제공 조건</t>
  </si>
  <si>
    <t>Vercel Pro 공식 요금</t>
  </si>
  <si>
    <t>월 $20, 사용량 크레딧 $20 포함. 초과액 별도</t>
  </si>
  <si>
    <t>https://vercel.com/docs/plans/pro-plan</t>
  </si>
  <si>
    <t>Supabase Pro 공식 요금</t>
  </si>
  <si>
    <t>월 $25, 10만 MAU 포함, 초과 $0.00325/MAU. 기타 초과요금 별도</t>
  </si>
  <si>
    <t>https://supabase.com/pricing</t>
  </si>
  <si>
    <t>OpenRouter Gemini 2.5 Flash Lite</t>
  </si>
  <si>
    <t>입력 $0.10, 출력 $0.40 / 100만 토큰</t>
  </si>
  <si>
    <t>https://openrouter.ai/google/gemini-2.5-flash-lite</t>
  </si>
  <si>
    <t>OpenRouter Gemini 3.8 Flash</t>
  </si>
  <si>
    <t>현재 50% 한시 할인 표시. 계획은 보수적 정가 $1.50/$7.50 적용</t>
  </si>
  <si>
    <t>https://openrouter.ai/google/gemini-3.8-flash</t>
  </si>
  <si>
    <t>OpenRouter Standard 수수료</t>
  </si>
  <si>
    <t>크레딧 충전액에 5.5% 수수료. API 소비액에 배분해 근사</t>
  </si>
  <si>
    <t>https://openrouter.ai/pricing</t>
  </si>
  <si>
    <t>토스페이먼츠 일반 카드 요금</t>
  </si>
  <si>
    <t>카드 3.4%, 가입비 22만원, 연관리비 11만원. 자동결제는 추가 계약·심사 필요</t>
  </si>
  <si>
    <t>https://www.tosspayments.com/about/fee</t>
  </si>
  <si>
    <t>P9</t>
  </si>
  <si>
    <t>토스페이먼츠 자동결제 안내</t>
  </si>
  <si>
    <t>자동결제는 추가 계약·심사 대상. 실제 수수료 확인 필요</t>
  </si>
  <si>
    <t>https://docs.tosspayments.com/guides/v2/billing</t>
  </si>
  <si>
    <t>국세청 부가세 계산</t>
  </si>
  <si>
    <t>일반 과세 10%; 소비자가 포함 가격이면 공급가액은 결제액/1.1</t>
  </si>
  <si>
    <t>https://www.nts.go.kr/nts/cm/cntnts/cntntsView.do?cntntsId=7696&amp;mi=2274</t>
  </si>
  <si>
    <t>국세청 2026년 이후 법인세율</t>
  </si>
  <si>
    <t>과세표준 2억원 이하 영리법인 10%; 실제 지방세·공제·세무조정 미반영</t>
  </si>
  <si>
    <t>https://s.nts.go.kr/nts/cm/cntnts/cntntsView.do?cntntsId=7746&amp;mi=2372</t>
  </si>
  <si>
    <t>ChartMogul/ProductLed 2026 SaaS 전환 조사</t>
  </si>
  <si>
    <t>200개 제품 중위: 무료/리드 가입자의 6개월 내 유료 전환 8%. 카드 체험 월전환과 정의 다름</t>
  </si>
  <si>
    <t>https://chartmogul.com/reports/saas-conversion-report/</t>
  </si>
  <si>
    <t>ChartMogul 2023 SaaS 이탈 조사</t>
  </si>
  <si>
    <t>&lt;$300k ARR 월 고객 이탈 중위 6.4%; &lt;$25 ARPA 6.1%</t>
  </si>
  <si>
    <t>https://chartmogul.com/reports/saas-benchmarks-report/saas-benchmarks-report-2023.pdf</t>
  </si>
  <si>
    <t>My Yoga Teacher 추천 연구</t>
  </si>
  <si>
    <t>추천 유입 고객의 이메일 공유 8.72%, 수신자 계정 생성 23.8%; 학생 SaaS 직접 비교 불가</t>
  </si>
  <si>
    <t>https://faculty.wharton.upenn.edu/wp-content/uploads/2020/06/gershon-jiang-2024-express-referral-contagion-downstream-benefits-of-customer-referrals.pdf</t>
  </si>
  <si>
    <t>모델 가정 / 미측정값</t>
  </si>
  <si>
    <t>웨이트리스트, 카드 등록률, 유료 전환, 토큰/분, 이용량, 급여, 환율 등은 실측 전 가정</t>
  </si>
  <si>
    <t>업데이트 우선순위</t>
  </si>
  <si>
    <t>1. 실제 사전예약자·채널별 카드 등록률·체험 종료 유료 전환·취소율</t>
  </si>
  <si>
    <t>2. API 요청당 입력/출력 토큰, 요약 횟수, 강의 분, 모델 구성</t>
  </si>
  <si>
    <t>3. 결제사 자동결제 계약 요율, Vercel/Supabase 실제 청구서, 급여·마케팅비</t>
  </si>
  <si>
    <t>월 단위 계획 모델입니다. 14일 체험의 일별 기산·결제일·환불·부가세 매입세액은 별도 회계 장부에서 검증하세요.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</si>
</sst>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&quot;원&quot;;[Red]\(#,##0&quot;원&quot;\);\–"/>
    <numFmt numFmtId="177" formatCode="#,##0.0;[Red]\(#,##0.0\);\–"/>
    <numFmt numFmtId="178" formatCode="0.0%;[Red]\(0.0%\);\–"/>
    <numFmt numFmtId="179" formatCode="0.00000"/>
    <numFmt numFmtId="180" formatCode="0.00&quot;x&quot;"/>
    <numFmt numFmtId="181" formatCode="#,##0;[Red]\(#,##0\);\–"/>
    <numFmt numFmtId="182" formatCode="0.00;[Red]\(0.00\);\–"/>
  </numFmts>
  <fonts count="12">
    <font>
      <sz val="11"/>
      <name val="Carlito"/>
    </font>
    <font>
      <sz val="10"/>
      <color rgb="FF243447"/>
      <name val="Arial"/>
      <family val="2"/>
    </font>
    <font>
      <b/>
      <sz val="15"/>
      <color rgb="FF17324D"/>
      <name val="Arial"/>
      <family val="2"/>
    </font>
    <font>
      <b/>
      <sz val="10"/>
      <color rgb="FFFFFFFF"/>
      <name val="Arial"/>
      <family val="2"/>
    </font>
    <font>
      <b/>
      <sz val="10"/>
      <color rgb="FF17324D"/>
      <name val="Arial"/>
      <family val="2"/>
    </font>
    <font>
      <sz val="10"/>
      <color rgb="FF0057A5"/>
      <name val="Arial"/>
      <family val="2"/>
    </font>
    <font>
      <i/>
      <sz val="9"/>
      <color rgb="FF64748B"/>
      <name val="Arial"/>
      <family val="2"/>
    </font>
    <font>
      <i/>
      <sz val="10"/>
      <color rgb="FF64748B"/>
      <name val="Arial"/>
      <family val="2"/>
    </font>
    <font>
      <b/>
      <sz val="11"/>
      <color rgb="FF17324D"/>
      <name val="Arial"/>
      <family val="2"/>
    </font>
    <font>
      <sz val="9"/>
      <color rgb="FF64748B"/>
      <name val="Arial"/>
      <family val="2"/>
    </font>
    <font>
      <sz val="11"/>
      <name val="Carlito"/>
    </font>
    <font>
      <sz val="8"/>
      <name val="나눔명조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F0F8"/>
      </patternFill>
    </fill>
    <fill>
      <patternFill patternType="solid">
        <fgColor rgb="FFFFF3D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AC9D7"/>
      </bottom>
      <diagonal/>
    </border>
  </borders>
  <cellStyleXfs count="2">
    <xf numFmtId="0" fontId="0" fillId="0" borderId="0"/>
    <xf numFmtId="0" fontId="10" fillId="0" borderId="0"/>
  </cellStyleXfs>
  <cellXfs count="24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3" fillId="2" borderId="0" xfId="1" applyFont="1" applyFill="1" applyAlignment="1">
      <alignment vertical="center"/>
    </xf>
    <xf numFmtId="0" fontId="4" fillId="3" borderId="0" xfId="1" applyFont="1" applyFill="1" applyAlignment="1">
      <alignment vertical="center"/>
    </xf>
    <xf numFmtId="176" fontId="5" fillId="4" borderId="0" xfId="1" applyNumberFormat="1" applyFont="1" applyFill="1" applyAlignment="1">
      <alignment vertical="center"/>
    </xf>
    <xf numFmtId="177" fontId="5" fillId="4" borderId="0" xfId="1" applyNumberFormat="1" applyFont="1" applyFill="1" applyAlignment="1">
      <alignment vertical="center"/>
    </xf>
    <xf numFmtId="178" fontId="5" fillId="4" borderId="0" xfId="1" applyNumberFormat="1" applyFont="1" applyFill="1" applyAlignment="1">
      <alignment vertical="center"/>
    </xf>
    <xf numFmtId="2" fontId="5" fillId="4" borderId="0" xfId="1" applyNumberFormat="1" applyFont="1" applyFill="1" applyAlignment="1">
      <alignment vertical="center"/>
    </xf>
    <xf numFmtId="179" fontId="5" fillId="4" borderId="0" xfId="1" applyNumberFormat="1" applyFont="1" applyFill="1" applyAlignment="1">
      <alignment vertical="center"/>
    </xf>
    <xf numFmtId="180" fontId="5" fillId="4" borderId="0" xfId="1" applyNumberFormat="1" applyFont="1" applyFill="1" applyAlignment="1">
      <alignment vertical="center"/>
    </xf>
    <xf numFmtId="0" fontId="6" fillId="0" borderId="0" xfId="1" applyFont="1" applyAlignment="1">
      <alignment vertical="center"/>
    </xf>
    <xf numFmtId="178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181" fontId="1" fillId="0" borderId="0" xfId="1" applyNumberFormat="1" applyFont="1" applyAlignment="1">
      <alignment vertical="center"/>
    </xf>
    <xf numFmtId="177" fontId="4" fillId="3" borderId="0" xfId="1" applyNumberFormat="1" applyFont="1" applyFill="1" applyAlignment="1">
      <alignment vertical="center"/>
    </xf>
    <xf numFmtId="181" fontId="4" fillId="3" borderId="0" xfId="1" applyNumberFormat="1" applyFont="1" applyFill="1" applyAlignment="1">
      <alignment vertical="center"/>
    </xf>
    <xf numFmtId="182" fontId="1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176" fontId="1" fillId="0" borderId="0" xfId="1" applyNumberFormat="1" applyFont="1" applyAlignment="1">
      <alignment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1" fillId="0" borderId="0" xfId="1" applyFont="1" applyAlignment="1">
      <alignment vertical="center" wrapText="1"/>
    </xf>
  </cellXfs>
  <cellStyles count="2">
    <cellStyle name="표준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 sz="900">
                <a:latin typeface="Arial"/>
                <a:ea typeface="Arial"/>
                <a:cs typeface="Arial"/>
              </a:rPr>
              <a:t>월별 순매출 </a:t>
            </a:r>
            <a:r>
              <a:rPr lang="en-US" altLang="ko-KR" sz="900">
                <a:latin typeface="Arial"/>
                <a:ea typeface="Arial"/>
                <a:cs typeface="Arial"/>
              </a:rPr>
              <a:t>· </a:t>
            </a:r>
            <a:r>
              <a:rPr lang="ko-KR" altLang="en-US" sz="900">
                <a:latin typeface="Arial"/>
                <a:ea typeface="Arial"/>
                <a:cs typeface="Arial"/>
              </a:rPr>
              <a:t>비용 </a:t>
            </a:r>
            <a:r>
              <a:rPr lang="en-US" altLang="ko-KR" sz="900">
                <a:latin typeface="Arial"/>
                <a:ea typeface="Arial"/>
                <a:cs typeface="Arial"/>
              </a:rPr>
              <a:t>· </a:t>
            </a:r>
            <a:r>
              <a:rPr lang="ko-KR" altLang="en-US" sz="900">
                <a:latin typeface="Arial"/>
                <a:ea typeface="Arial"/>
                <a:cs typeface="Arial"/>
              </a:rPr>
              <a:t>순이익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순매출</c:v>
          </c:tx>
          <c:spPr>
            <a:ln w="19050">
              <a:solidFill>
                <a:srgbClr val="2468A1"/>
              </a:solidFill>
              <a:prstDash val="solid"/>
            </a:ln>
          </c:spPr>
          <c:marker>
            <c:symbol val="none"/>
          </c:marker>
          <c:cat>
            <c:strRef>
              <c:f>Overview!$A$25:$A$48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Overview!$B$25:$B$48</c:f>
              <c:numCache>
                <c:formatCode>#,##0;[Red]\(#,##0\);\–</c:formatCode>
                <c:ptCount val="24"/>
                <c:pt idx="0">
                  <c:v>0</c:v>
                </c:pt>
                <c:pt idx="1">
                  <c:v>126654.54545454546</c:v>
                </c:pt>
                <c:pt idx="2">
                  <c:v>176698.44777272729</c:v>
                </c:pt>
                <c:pt idx="3">
                  <c:v>224869.08946745456</c:v>
                </c:pt>
                <c:pt idx="4">
                  <c:v>271677.47863548435</c:v>
                </c:pt>
                <c:pt idx="5">
                  <c:v>318444.85436108673</c:v>
                </c:pt>
                <c:pt idx="6">
                  <c:v>365418.01148341305</c:v>
                </c:pt>
                <c:pt idx="7">
                  <c:v>412751.8251049032</c:v>
                </c:pt>
                <c:pt idx="8">
                  <c:v>460592.24057429272</c:v>
                </c:pt>
                <c:pt idx="9">
                  <c:v>509083.69082600216</c:v>
                </c:pt>
                <c:pt idx="10">
                  <c:v>558370.15550374426</c:v>
                </c:pt>
                <c:pt idx="11">
                  <c:v>608595.67744965735</c:v>
                </c:pt>
                <c:pt idx="12">
                  <c:v>659904.82658283308</c:v>
                </c:pt>
                <c:pt idx="13">
                  <c:v>712443.15379572229</c:v>
                </c:pt>
                <c:pt idx="14">
                  <c:v>766357.63987267425</c:v>
                </c:pt>
                <c:pt idx="15">
                  <c:v>821797.14123669313</c:v>
                </c:pt>
                <c:pt idx="16">
                  <c:v>878912.8340292084</c:v>
                </c:pt>
                <c:pt idx="17">
                  <c:v>937858.65797458577</c:v>
                </c:pt>
                <c:pt idx="18">
                  <c:v>998791.76145362144</c:v>
                </c:pt>
                <c:pt idx="19">
                  <c:v>1061872.949189469</c:v>
                </c:pt>
                <c:pt idx="20">
                  <c:v>1127267.1339336664</c:v>
                </c:pt>
                <c:pt idx="21">
                  <c:v>1195143.7935288518</c:v>
                </c:pt>
                <c:pt idx="22">
                  <c:v>1265677.4347182917</c:v>
                </c:pt>
                <c:pt idx="23">
                  <c:v>1339048.0650703721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ED-BB4E-9CBD-C882D9BF290F}"/>
            </c:ext>
          </c:extLst>
        </c:ser>
        <c:ser>
          <c:idx val="1"/>
          <c:order val="1"/>
          <c:tx>
            <c:v>전체 비용</c:v>
          </c:tx>
          <c:spPr>
            <a:ln w="19050">
              <a:solidFill>
                <a:srgbClr val="E3752E"/>
              </a:solidFill>
              <a:prstDash val="solid"/>
            </a:ln>
          </c:spPr>
          <c:marker>
            <c:symbol val="none"/>
          </c:marker>
          <c:cat>
            <c:strRef>
              <c:f>Overview!$A$25:$A$48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Overview!$C$25:$C$48</c:f>
              <c:numCache>
                <c:formatCode>#,##0;[Red]\(#,##0\);\–</c:formatCode>
                <c:ptCount val="24"/>
                <c:pt idx="0">
                  <c:v>600811.71747999999</c:v>
                </c:pt>
                <c:pt idx="1">
                  <c:v>276941.03364447999</c:v>
                </c:pt>
                <c:pt idx="2">
                  <c:v>280934.09381942631</c:v>
                </c:pt>
                <c:pt idx="3">
                  <c:v>284679.2276514236</c:v>
                </c:pt>
                <c:pt idx="4">
                  <c:v>288275.28064096218</c:v>
                </c:pt>
                <c:pt idx="5">
                  <c:v>291812.85197385307</c:v>
                </c:pt>
                <c:pt idx="6">
                  <c:v>295330.06745706312</c:v>
                </c:pt>
                <c:pt idx="7">
                  <c:v>298854.25943661737</c:v>
                </c:pt>
                <c:pt idx="8">
                  <c:v>302407.39838361141</c:v>
                </c:pt>
                <c:pt idx="9">
                  <c:v>306007.90913240542</c:v>
                </c:pt>
                <c:pt idx="10">
                  <c:v>309671.78401413234</c:v>
                </c:pt>
                <c:pt idx="11">
                  <c:v>313413.35729340068</c:v>
                </c:pt>
                <c:pt idx="12">
                  <c:v>427245.85539216251</c:v>
                </c:pt>
                <c:pt idx="13">
                  <c:v>321181.79125654628</c:v>
                </c:pt>
                <c:pt idx="14">
                  <c:v>325233.24975305592</c:v>
                </c:pt>
                <c:pt idx="15">
                  <c:v>329412.09686051653</c:v>
                </c:pt>
                <c:pt idx="16">
                  <c:v>333730.13561619935</c:v>
                </c:pt>
                <c:pt idx="17">
                  <c:v>338199.22491521802</c:v>
                </c:pt>
                <c:pt idx="18">
                  <c:v>342831.37246119545</c:v>
                </c:pt>
                <c:pt idx="19">
                  <c:v>347638.80980547937</c:v>
                </c:pt>
                <c:pt idx="20">
                  <c:v>352634.05505977385</c:v>
                </c:pt>
                <c:pt idx="21">
                  <c:v>357829.9672205543</c:v>
                </c:pt>
                <c:pt idx="22">
                  <c:v>363239.79489134293</c:v>
                </c:pt>
                <c:pt idx="23">
                  <c:v>368877.22138269385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ED-BB4E-9CBD-C882D9BF290F}"/>
            </c:ext>
          </c:extLst>
        </c:ser>
        <c:ser>
          <c:idx val="2"/>
          <c:order val="2"/>
          <c:tx>
            <c:v>순이익</c:v>
          </c:tx>
          <c:spPr>
            <a:ln w="19050">
              <a:solidFill>
                <a:srgbClr val="0F7B56"/>
              </a:solidFill>
              <a:prstDash val="solid"/>
            </a:ln>
          </c:spPr>
          <c:marker>
            <c:symbol val="none"/>
          </c:marker>
          <c:cat>
            <c:strRef>
              <c:f>Overview!$A$25:$A$48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Overview!$D$25:$D$48</c:f>
              <c:numCache>
                <c:formatCode>#,##0;[Red]\(#,##0\);\–</c:formatCode>
                <c:ptCount val="24"/>
                <c:pt idx="0">
                  <c:v>-600811.71747999999</c:v>
                </c:pt>
                <c:pt idx="1">
                  <c:v>-150286.48818993452</c:v>
                </c:pt>
                <c:pt idx="2">
                  <c:v>-104235.64604669902</c:v>
                </c:pt>
                <c:pt idx="3">
                  <c:v>-59810.138183969044</c:v>
                </c:pt>
                <c:pt idx="4">
                  <c:v>-16597.802005477832</c:v>
                </c:pt>
                <c:pt idx="5">
                  <c:v>26632.002387233661</c:v>
                </c:pt>
                <c:pt idx="6">
                  <c:v>70087.944026349927</c:v>
                </c:pt>
                <c:pt idx="7">
                  <c:v>113897.56566828582</c:v>
                </c:pt>
                <c:pt idx="8">
                  <c:v>158184.84219068132</c:v>
                </c:pt>
                <c:pt idx="9">
                  <c:v>203075.78169359674</c:v>
                </c:pt>
                <c:pt idx="10">
                  <c:v>248698.37148961192</c:v>
                </c:pt>
                <c:pt idx="11">
                  <c:v>276780.61658566311</c:v>
                </c:pt>
                <c:pt idx="12">
                  <c:v>209393.07407160351</c:v>
                </c:pt>
                <c:pt idx="13">
                  <c:v>352135.22628525842</c:v>
                </c:pt>
                <c:pt idx="14">
                  <c:v>397011.95110765647</c:v>
                </c:pt>
                <c:pt idx="15">
                  <c:v>443146.53993855894</c:v>
                </c:pt>
                <c:pt idx="16">
                  <c:v>490664.42857170815</c:v>
                </c:pt>
                <c:pt idx="17">
                  <c:v>539693.48975343106</c:v>
                </c:pt>
                <c:pt idx="18">
                  <c:v>590364.35009318334</c:v>
                </c:pt>
                <c:pt idx="19">
                  <c:v>642810.72544559068</c:v>
                </c:pt>
                <c:pt idx="20">
                  <c:v>697169.77098650334</c:v>
                </c:pt>
                <c:pt idx="21">
                  <c:v>753582.44367746776</c:v>
                </c:pt>
                <c:pt idx="22">
                  <c:v>812193.87584425393</c:v>
                </c:pt>
                <c:pt idx="23">
                  <c:v>873153.75931891042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ED-BB4E-9CBD-C882D9BF2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ko-K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ko-KR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"/>
  <sheetViews>
    <sheetView showGridLines="0" workbookViewId="0"/>
  </sheetViews>
  <sheetFormatPr baseColWidth="10" defaultColWidth="8.83203125" defaultRowHeight="14"/>
  <cols>
    <col min="1" max="1" width="31.1640625" customWidth="1"/>
    <col min="2" max="4" width="14.5" customWidth="1"/>
    <col min="5" max="5" width="2.1640625" customWidth="1"/>
    <col min="6" max="17" width="11.1640625" customWidth="1"/>
    <col min="18" max="26" width="12" customWidth="1"/>
  </cols>
  <sheetData>
    <row r="1" spans="1:26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3"/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19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4" t="s">
        <v>2</v>
      </c>
      <c r="B6" s="4" t="s">
        <v>3</v>
      </c>
      <c r="C6" s="4" t="s">
        <v>4</v>
      </c>
      <c r="D6" s="4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1" t="s">
        <v>6</v>
      </c>
      <c r="B7" s="14">
        <f>'Monthly Model'!H14</f>
        <v>25.525693981791363</v>
      </c>
      <c r="C7" s="14">
        <f>'Monthly Model'!N14</f>
        <v>34.20678716234832</v>
      </c>
      <c r="D7" s="14">
        <f>'Monthly Model'!Z14</f>
        <v>61.430475118356213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1" t="s">
        <v>7</v>
      </c>
      <c r="B8" s="14">
        <f>'Monthly Model'!H34</f>
        <v>18.102846681475199</v>
      </c>
      <c r="C8" s="14">
        <f>'Monthly Model'!N34</f>
        <v>34.597170294309258</v>
      </c>
      <c r="D8" s="14">
        <f>'Monthly Model'!Z34</f>
        <v>76.121595430357075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" t="s">
        <v>8</v>
      </c>
      <c r="B9" s="20">
        <f>'Monthly Model'!H52</f>
        <v>318444.85436108673</v>
      </c>
      <c r="C9" s="20">
        <f>'Monthly Model'!N52</f>
        <v>608595.67744965735</v>
      </c>
      <c r="D9" s="20">
        <f>'Monthly Model'!Z52</f>
        <v>1339048.0650703721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1" t="s">
        <v>9</v>
      </c>
      <c r="B10" s="20">
        <f>'Monthly Model'!H74</f>
        <v>291812.85197385307</v>
      </c>
      <c r="C10" s="20">
        <f>'Monthly Model'!N74</f>
        <v>313413.35729340068</v>
      </c>
      <c r="D10" s="20">
        <f>'Monthly Model'!Z74</f>
        <v>368877.22138269385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" t="s">
        <v>10</v>
      </c>
      <c r="B11" s="20">
        <f>'Monthly Model'!H80</f>
        <v>26632.002387233661</v>
      </c>
      <c r="C11" s="20">
        <f>'Monthly Model'!N80</f>
        <v>276780.61658566311</v>
      </c>
      <c r="D11" s="20">
        <f>'Monthly Model'!Z80</f>
        <v>873153.75931891042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" t="s">
        <v>11</v>
      </c>
      <c r="B12" s="20">
        <f>'Monthly Model'!H81</f>
        <v>-905109.78951884678</v>
      </c>
      <c r="C12" s="20">
        <f>'Monthly Model'!N81</f>
        <v>165615.332135342</v>
      </c>
      <c r="D12" s="20">
        <f>'Monthly Model'!Z81</f>
        <v>6966934.9672294678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1" t="s">
        <v>12</v>
      </c>
      <c r="B13" s="14">
        <f>'Monthly Model'!H11</f>
        <v>6.2731791359999997E-5</v>
      </c>
      <c r="C13" s="14">
        <f>'Monthly Model'!N11</f>
        <v>2.2037554824513591E-11</v>
      </c>
      <c r="D13" s="14">
        <f>'Monthly Model'!Z11</f>
        <v>2.7196614068032751E-24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4" t="s">
        <v>13</v>
      </c>
      <c r="B16" s="4" t="s">
        <v>14</v>
      </c>
      <c r="C16" s="4" t="s">
        <v>15</v>
      </c>
      <c r="D16" s="4" t="s">
        <v>16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" t="s">
        <v>17</v>
      </c>
      <c r="B17" s="14">
        <f>SUM('Monthly Model'!C14:N14)</f>
        <v>334.7180762603781</v>
      </c>
      <c r="C17" s="14">
        <f>SUM('Monthly Model'!O14:Z14)</f>
        <v>571.6974470766304</v>
      </c>
      <c r="D17" s="14">
        <f t="shared" ref="D17:D22" si="0">B17+C17</f>
        <v>906.41552333700849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" t="s">
        <v>18</v>
      </c>
      <c r="B18" s="20">
        <f>SUM('Monthly Model'!C52:N52)</f>
        <v>4033156.0166333113</v>
      </c>
      <c r="C18" s="20">
        <f>SUM('Monthly Model'!O52:Z52)</f>
        <v>11765075.391385989</v>
      </c>
      <c r="D18" s="20">
        <f t="shared" si="0"/>
        <v>15798231.408019301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" t="s">
        <v>19</v>
      </c>
      <c r="B19" s="20">
        <f>SUM('Monthly Model'!C74:N74)</f>
        <v>3849138.9809273751</v>
      </c>
      <c r="C19" s="20">
        <f>SUM('Monthly Model'!O74:Z74)</f>
        <v>4208053.5746147381</v>
      </c>
      <c r="D19" s="20">
        <f t="shared" si="0"/>
        <v>8057192.5555421133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" t="s">
        <v>20</v>
      </c>
      <c r="B20" s="20">
        <f>SUM('Monthly Model'!C80:N80)</f>
        <v>165615.332135342</v>
      </c>
      <c r="C20" s="20">
        <f>SUM('Monthly Model'!O80:Z80)</f>
        <v>6801319.6350941258</v>
      </c>
      <c r="D20" s="20">
        <f t="shared" si="0"/>
        <v>6966934.9672294678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" t="s">
        <v>21</v>
      </c>
      <c r="B21" s="14">
        <f>SUM('Monthly Model'!C11:N11)</f>
        <v>1.3755458515263634</v>
      </c>
      <c r="C21" s="14">
        <f>SUM('Monthly Model'!O11:Z11)</f>
        <v>2.0209111411123506E-12</v>
      </c>
      <c r="D21" s="14">
        <f t="shared" si="0"/>
        <v>1.3755458515283843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" t="s">
        <v>22</v>
      </c>
      <c r="B22" s="14">
        <f>SUM('Monthly Model'!C43:N43)</f>
        <v>0.10110262008718769</v>
      </c>
      <c r="C22" s="14">
        <f>SUM('Monthly Model'!O43:Z43)</f>
        <v>1.4853696887175775E-13</v>
      </c>
      <c r="D22" s="14">
        <f t="shared" si="0"/>
        <v>0.10110262008733623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21" t="s">
        <v>23</v>
      </c>
      <c r="B23" s="1"/>
      <c r="C23" s="1"/>
      <c r="D23" s="1"/>
      <c r="E23" s="1"/>
      <c r="F23" s="21" t="s">
        <v>24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5" t="s">
        <v>25</v>
      </c>
      <c r="B24" s="5" t="s">
        <v>18</v>
      </c>
      <c r="C24" s="5" t="s">
        <v>19</v>
      </c>
      <c r="D24" s="5" t="s">
        <v>20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" t="s">
        <v>26</v>
      </c>
      <c r="B25" s="15">
        <f>'Monthly Model'!C52</f>
        <v>0</v>
      </c>
      <c r="C25" s="15">
        <f>'Monthly Model'!C74</f>
        <v>600811.71747999999</v>
      </c>
      <c r="D25" s="15">
        <f>'Monthly Model'!C80</f>
        <v>-600811.71747999999</v>
      </c>
      <c r="E25" s="1"/>
      <c r="F25" s="22" t="s">
        <v>27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" t="s">
        <v>28</v>
      </c>
      <c r="B26" s="15">
        <f>'Monthly Model'!D52</f>
        <v>126654.54545454546</v>
      </c>
      <c r="C26" s="15">
        <f>'Monthly Model'!D74</f>
        <v>276941.03364447999</v>
      </c>
      <c r="D26" s="15">
        <f>'Monthly Model'!D80</f>
        <v>-150286.48818993452</v>
      </c>
      <c r="E26" s="1"/>
      <c r="F26" s="22" t="s">
        <v>29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" t="s">
        <v>30</v>
      </c>
      <c r="B27" s="15">
        <f>'Monthly Model'!E52</f>
        <v>176698.44777272729</v>
      </c>
      <c r="C27" s="15">
        <f>'Monthly Model'!E74</f>
        <v>280934.09381942631</v>
      </c>
      <c r="D27" s="15">
        <f>'Monthly Model'!E80</f>
        <v>-104235.64604669902</v>
      </c>
      <c r="E27" s="1"/>
      <c r="F27" s="22" t="s">
        <v>31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" t="s">
        <v>32</v>
      </c>
      <c r="B28" s="15">
        <f>'Monthly Model'!F52</f>
        <v>224869.08946745456</v>
      </c>
      <c r="C28" s="15">
        <f>'Monthly Model'!F74</f>
        <v>284679.2276514236</v>
      </c>
      <c r="D28" s="15">
        <f>'Monthly Model'!F80</f>
        <v>-59810.138183969044</v>
      </c>
      <c r="E28" s="1"/>
      <c r="F28" s="22" t="s">
        <v>33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" t="s">
        <v>34</v>
      </c>
      <c r="B29" s="15">
        <f>'Monthly Model'!G52</f>
        <v>271677.47863548435</v>
      </c>
      <c r="C29" s="15">
        <f>'Monthly Model'!G74</f>
        <v>288275.28064096218</v>
      </c>
      <c r="D29" s="15">
        <f>'Monthly Model'!G80</f>
        <v>-16597.802005477832</v>
      </c>
      <c r="E29" s="1"/>
      <c r="F29" s="22" t="s">
        <v>35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" t="s">
        <v>3</v>
      </c>
      <c r="B30" s="15">
        <f>'Monthly Model'!H52</f>
        <v>318444.85436108673</v>
      </c>
      <c r="C30" s="15">
        <f>'Monthly Model'!H74</f>
        <v>291812.85197385307</v>
      </c>
      <c r="D30" s="15">
        <f>'Monthly Model'!H80</f>
        <v>26632.002387233661</v>
      </c>
      <c r="E30" s="1"/>
      <c r="F30" s="22" t="s">
        <v>36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" t="s">
        <v>37</v>
      </c>
      <c r="B31" s="15">
        <f>'Monthly Model'!I52</f>
        <v>365418.01148341305</v>
      </c>
      <c r="C31" s="15">
        <f>'Monthly Model'!I74</f>
        <v>295330.06745706312</v>
      </c>
      <c r="D31" s="15">
        <f>'Monthly Model'!I80</f>
        <v>70087.944026349927</v>
      </c>
      <c r="E31" s="1"/>
      <c r="F31" s="22" t="s">
        <v>38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" t="s">
        <v>39</v>
      </c>
      <c r="B32" s="15">
        <f>'Monthly Model'!J52</f>
        <v>412751.8251049032</v>
      </c>
      <c r="C32" s="15">
        <f>'Monthly Model'!J74</f>
        <v>298854.25943661737</v>
      </c>
      <c r="D32" s="15">
        <f>'Monthly Model'!J80</f>
        <v>113897.56566828582</v>
      </c>
      <c r="E32" s="1"/>
      <c r="F32" s="22" t="s">
        <v>40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 t="s">
        <v>41</v>
      </c>
      <c r="B33" s="15">
        <f>'Monthly Model'!K52</f>
        <v>460592.24057429272</v>
      </c>
      <c r="C33" s="15">
        <f>'Monthly Model'!K74</f>
        <v>302407.39838361141</v>
      </c>
      <c r="D33" s="15">
        <f>'Monthly Model'!K80</f>
        <v>158184.84219068132</v>
      </c>
      <c r="E33" s="1"/>
      <c r="F33" s="22" t="s">
        <v>42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 t="s">
        <v>43</v>
      </c>
      <c r="B34" s="15">
        <f>'Monthly Model'!L52</f>
        <v>509083.69082600216</v>
      </c>
      <c r="C34" s="15">
        <f>'Monthly Model'!L74</f>
        <v>306007.90913240542</v>
      </c>
      <c r="D34" s="15">
        <f>'Monthly Model'!L80</f>
        <v>203075.78169359674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 t="s">
        <v>44</v>
      </c>
      <c r="B35" s="15">
        <f>'Monthly Model'!M52</f>
        <v>558370.15550374426</v>
      </c>
      <c r="C35" s="15">
        <f>'Monthly Model'!M74</f>
        <v>309671.78401413234</v>
      </c>
      <c r="D35" s="15">
        <f>'Monthly Model'!M80</f>
        <v>248698.37148961192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 t="s">
        <v>4</v>
      </c>
      <c r="B36" s="15">
        <f>'Monthly Model'!N52</f>
        <v>608595.67744965735</v>
      </c>
      <c r="C36" s="15">
        <f>'Monthly Model'!N74</f>
        <v>313413.35729340068</v>
      </c>
      <c r="D36" s="15">
        <f>'Monthly Model'!N80</f>
        <v>276780.61658566311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 t="s">
        <v>45</v>
      </c>
      <c r="B37" s="15">
        <f>'Monthly Model'!O52</f>
        <v>659904.82658283308</v>
      </c>
      <c r="C37" s="15">
        <f>'Monthly Model'!O74</f>
        <v>427245.85539216251</v>
      </c>
      <c r="D37" s="15">
        <f>'Monthly Model'!O80</f>
        <v>209393.07407160351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 t="s">
        <v>46</v>
      </c>
      <c r="B38" s="15">
        <f>'Monthly Model'!P52</f>
        <v>712443.15379572229</v>
      </c>
      <c r="C38" s="15">
        <f>'Monthly Model'!P74</f>
        <v>321181.79125654628</v>
      </c>
      <c r="D38" s="15">
        <f>'Monthly Model'!P80</f>
        <v>352135.22628525842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 t="s">
        <v>47</v>
      </c>
      <c r="B39" s="15">
        <f>'Monthly Model'!Q52</f>
        <v>766357.63987267425</v>
      </c>
      <c r="C39" s="15">
        <f>'Monthly Model'!Q74</f>
        <v>325233.24975305592</v>
      </c>
      <c r="D39" s="15">
        <f>'Monthly Model'!Q80</f>
        <v>397011.95110765647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 t="s">
        <v>48</v>
      </c>
      <c r="B40" s="15">
        <f>'Monthly Model'!R52</f>
        <v>821797.14123669313</v>
      </c>
      <c r="C40" s="15">
        <f>'Monthly Model'!R74</f>
        <v>329412.09686051653</v>
      </c>
      <c r="D40" s="15">
        <f>'Monthly Model'!R80</f>
        <v>443146.53993855894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 t="s">
        <v>49</v>
      </c>
      <c r="B41" s="15">
        <f>'Monthly Model'!S52</f>
        <v>878912.8340292084</v>
      </c>
      <c r="C41" s="15">
        <f>'Monthly Model'!S74</f>
        <v>333730.13561619935</v>
      </c>
      <c r="D41" s="15">
        <f>'Monthly Model'!S80</f>
        <v>490664.42857170815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 t="s">
        <v>50</v>
      </c>
      <c r="B42" s="15">
        <f>'Monthly Model'!T52</f>
        <v>937858.65797458577</v>
      </c>
      <c r="C42" s="15">
        <f>'Monthly Model'!T74</f>
        <v>338199.22491521802</v>
      </c>
      <c r="D42" s="15">
        <f>'Monthly Model'!T80</f>
        <v>539693.48975343106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 t="s">
        <v>51</v>
      </c>
      <c r="B43" s="15">
        <f>'Monthly Model'!U52</f>
        <v>998791.76145362144</v>
      </c>
      <c r="C43" s="15">
        <f>'Monthly Model'!U74</f>
        <v>342831.37246119545</v>
      </c>
      <c r="D43" s="15">
        <f>'Monthly Model'!U80</f>
        <v>590364.35009318334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 t="s">
        <v>52</v>
      </c>
      <c r="B44" s="15">
        <f>'Monthly Model'!V52</f>
        <v>1061872.949189469</v>
      </c>
      <c r="C44" s="15">
        <f>'Monthly Model'!V74</f>
        <v>347638.80980547937</v>
      </c>
      <c r="D44" s="15">
        <f>'Monthly Model'!V80</f>
        <v>642810.72544559068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 t="s">
        <v>53</v>
      </c>
      <c r="B45" s="15">
        <f>'Monthly Model'!W52</f>
        <v>1127267.1339336664</v>
      </c>
      <c r="C45" s="15">
        <f>'Monthly Model'!W74</f>
        <v>352634.05505977385</v>
      </c>
      <c r="D45" s="15">
        <f>'Monthly Model'!W80</f>
        <v>697169.77098650334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 t="s">
        <v>54</v>
      </c>
      <c r="B46" s="15">
        <f>'Monthly Model'!X52</f>
        <v>1195143.7935288518</v>
      </c>
      <c r="C46" s="15">
        <f>'Monthly Model'!X74</f>
        <v>357829.9672205543</v>
      </c>
      <c r="D46" s="15">
        <f>'Monthly Model'!X80</f>
        <v>753582.44367746776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 t="s">
        <v>55</v>
      </c>
      <c r="B47" s="15">
        <f>'Monthly Model'!Y52</f>
        <v>1265677.4347182917</v>
      </c>
      <c r="C47" s="15">
        <f>'Monthly Model'!Y74</f>
        <v>363239.79489134293</v>
      </c>
      <c r="D47" s="15">
        <f>'Monthly Model'!Y80</f>
        <v>812193.87584425393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 t="s">
        <v>5</v>
      </c>
      <c r="B48" s="15">
        <f>'Monthly Model'!Z52</f>
        <v>1339048.0650703721</v>
      </c>
      <c r="C48" s="15">
        <f>'Monthly Model'!Z74</f>
        <v>368877.22138269385</v>
      </c>
      <c r="D48" s="15">
        <f>'Monthly Model'!Z80</f>
        <v>873153.75931891042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</sheetData>
  <phoneticPr fontId="1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5"/>
  <sheetViews>
    <sheetView showGridLines="0" tabSelected="1" workbookViewId="0">
      <pane ySplit="4" topLeftCell="A18" activePane="bottomLeft" state="frozen"/>
      <selection pane="bottomLeft" activeCell="C35" sqref="C35"/>
    </sheetView>
  </sheetViews>
  <sheetFormatPr baseColWidth="10" defaultColWidth="8.83203125" defaultRowHeight="14"/>
  <cols>
    <col min="1" max="1" width="34.5" customWidth="1"/>
    <col min="2" max="2" width="10.1640625" customWidth="1"/>
    <col min="3" max="3" width="12.6640625" customWidth="1"/>
    <col min="4" max="4" width="11.5" customWidth="1"/>
    <col min="5" max="5" width="9.1640625" customWidth="1"/>
    <col min="6" max="6" width="45" customWidth="1"/>
    <col min="7" max="18" width="7.1640625" customWidth="1"/>
    <col min="19" max="26" width="12" customWidth="1"/>
  </cols>
  <sheetData>
    <row r="1" spans="1:26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2" t="s">
        <v>56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3"/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4" t="s">
        <v>57</v>
      </c>
      <c r="B4" s="4" t="s">
        <v>58</v>
      </c>
      <c r="C4" s="4" t="s">
        <v>59</v>
      </c>
      <c r="D4" s="4" t="s">
        <v>60</v>
      </c>
      <c r="E4" s="4" t="s">
        <v>61</v>
      </c>
      <c r="F4" s="4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68</v>
      </c>
      <c r="M4" s="1" t="s">
        <v>69</v>
      </c>
      <c r="N4" s="1" t="s">
        <v>70</v>
      </c>
      <c r="O4" s="1" t="s">
        <v>71</v>
      </c>
      <c r="P4" s="1" t="s">
        <v>72</v>
      </c>
      <c r="Q4" s="1" t="s">
        <v>73</v>
      </c>
      <c r="R4" s="1" t="s">
        <v>74</v>
      </c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5" t="s">
        <v>75</v>
      </c>
      <c r="B5" s="5"/>
      <c r="C5" s="5"/>
      <c r="D5" s="5"/>
      <c r="E5" s="5"/>
      <c r="F5" s="5"/>
      <c r="G5" s="1" t="s">
        <v>76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" t="s">
        <v>77</v>
      </c>
      <c r="B6" s="1" t="s">
        <v>78</v>
      </c>
      <c r="C6" s="6">
        <v>21900</v>
      </c>
      <c r="D6" s="1" t="s">
        <v>79</v>
      </c>
      <c r="E6" s="1" t="s">
        <v>80</v>
      </c>
      <c r="F6" s="1" t="s">
        <v>81</v>
      </c>
      <c r="G6" s="11">
        <v>1</v>
      </c>
      <c r="H6" s="11">
        <v>1</v>
      </c>
      <c r="I6" s="11">
        <v>1</v>
      </c>
      <c r="J6" s="11">
        <v>1</v>
      </c>
      <c r="K6" s="11">
        <v>1</v>
      </c>
      <c r="L6" s="11">
        <v>1</v>
      </c>
      <c r="M6" s="11">
        <v>1</v>
      </c>
      <c r="N6" s="11">
        <v>1</v>
      </c>
      <c r="O6" s="11">
        <v>1</v>
      </c>
      <c r="P6" s="11">
        <v>1</v>
      </c>
      <c r="Q6" s="11">
        <v>1</v>
      </c>
      <c r="R6" s="11">
        <v>1</v>
      </c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1" t="s">
        <v>82</v>
      </c>
      <c r="B7" s="1" t="s">
        <v>78</v>
      </c>
      <c r="C7" s="6">
        <v>13900</v>
      </c>
      <c r="D7" s="1" t="s">
        <v>79</v>
      </c>
      <c r="E7" s="1" t="s">
        <v>80</v>
      </c>
      <c r="F7" s="1" t="s">
        <v>83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1" t="s">
        <v>84</v>
      </c>
      <c r="B8" s="1" t="s">
        <v>78</v>
      </c>
      <c r="C8" s="6">
        <v>28900</v>
      </c>
      <c r="D8" s="1" t="s">
        <v>79</v>
      </c>
      <c r="E8" s="1" t="s">
        <v>80</v>
      </c>
      <c r="F8" s="1" t="s">
        <v>81</v>
      </c>
      <c r="G8" s="12" t="s">
        <v>85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" t="s">
        <v>86</v>
      </c>
      <c r="B9" s="1" t="s">
        <v>87</v>
      </c>
      <c r="C9" s="7">
        <v>14</v>
      </c>
      <c r="D9" s="1" t="s">
        <v>79</v>
      </c>
      <c r="E9" s="1" t="s">
        <v>80</v>
      </c>
      <c r="F9" s="1" t="s">
        <v>88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1" t="s">
        <v>89</v>
      </c>
      <c r="B10" s="1" t="s">
        <v>90</v>
      </c>
      <c r="C10" s="7">
        <v>150</v>
      </c>
      <c r="D10" s="1" t="s">
        <v>79</v>
      </c>
      <c r="E10" s="1" t="s">
        <v>80</v>
      </c>
      <c r="F10" s="1" t="s">
        <v>91</v>
      </c>
      <c r="G10" s="1" t="s">
        <v>92</v>
      </c>
      <c r="H10" s="13">
        <f>SUM(C33,C34,C35)</f>
        <v>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" t="s">
        <v>93</v>
      </c>
      <c r="B11" s="1" t="s">
        <v>94</v>
      </c>
      <c r="C11" s="7">
        <v>2</v>
      </c>
      <c r="D11" s="1" t="s">
        <v>79</v>
      </c>
      <c r="E11" s="1" t="s">
        <v>80</v>
      </c>
      <c r="F11" s="1" t="s">
        <v>95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" t="s">
        <v>96</v>
      </c>
      <c r="B12" s="1" t="s">
        <v>97</v>
      </c>
      <c r="C12" s="7">
        <v>1</v>
      </c>
      <c r="D12" s="1" t="s">
        <v>79</v>
      </c>
      <c r="E12" s="1" t="s">
        <v>80</v>
      </c>
      <c r="F12" s="1" t="s">
        <v>98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1" t="s">
        <v>99</v>
      </c>
      <c r="B13" s="1" t="s">
        <v>97</v>
      </c>
      <c r="C13" s="7">
        <v>1</v>
      </c>
      <c r="D13" s="1" t="s">
        <v>79</v>
      </c>
      <c r="E13" s="1" t="s">
        <v>80</v>
      </c>
      <c r="F13" s="1" t="s">
        <v>100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5" t="s">
        <v>101</v>
      </c>
      <c r="B14" s="5"/>
      <c r="C14" s="5"/>
      <c r="D14" s="5"/>
      <c r="E14" s="5"/>
      <c r="F14" s="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" t="s">
        <v>102</v>
      </c>
      <c r="B15" s="1" t="s">
        <v>103</v>
      </c>
      <c r="C15" s="7">
        <v>25</v>
      </c>
      <c r="D15" s="1" t="s">
        <v>104</v>
      </c>
      <c r="E15" s="1" t="s">
        <v>105</v>
      </c>
      <c r="F15" s="1" t="s">
        <v>106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" t="s">
        <v>107</v>
      </c>
      <c r="B16" s="1" t="s">
        <v>108</v>
      </c>
      <c r="C16" s="8">
        <v>0.6</v>
      </c>
      <c r="D16" s="1" t="s">
        <v>104</v>
      </c>
      <c r="E16" s="1" t="s">
        <v>105</v>
      </c>
      <c r="F16" s="1" t="s">
        <v>109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" t="s">
        <v>110</v>
      </c>
      <c r="B17" s="1" t="s">
        <v>108</v>
      </c>
      <c r="C17" s="8">
        <v>0.7</v>
      </c>
      <c r="D17" s="1" t="s">
        <v>104</v>
      </c>
      <c r="E17" s="1" t="s">
        <v>105</v>
      </c>
      <c r="F17" s="1" t="s">
        <v>111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" t="s">
        <v>112</v>
      </c>
      <c r="B18" s="1" t="s">
        <v>103</v>
      </c>
      <c r="C18" s="7">
        <v>20</v>
      </c>
      <c r="D18" s="1" t="s">
        <v>104</v>
      </c>
      <c r="E18" s="1" t="s">
        <v>105</v>
      </c>
      <c r="F18" s="1" t="s">
        <v>113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" t="s">
        <v>114</v>
      </c>
      <c r="B19" s="1" t="s">
        <v>108</v>
      </c>
      <c r="C19" s="8">
        <v>0.05</v>
      </c>
      <c r="D19" s="1" t="s">
        <v>104</v>
      </c>
      <c r="E19" s="1" t="s">
        <v>105</v>
      </c>
      <c r="F19" s="1" t="s">
        <v>115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" t="s">
        <v>116</v>
      </c>
      <c r="B20" s="1" t="s">
        <v>108</v>
      </c>
      <c r="C20" s="8">
        <v>0.6</v>
      </c>
      <c r="D20" s="1" t="s">
        <v>104</v>
      </c>
      <c r="E20" s="1" t="s">
        <v>117</v>
      </c>
      <c r="F20" s="1" t="s">
        <v>118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" t="s">
        <v>119</v>
      </c>
      <c r="B21" s="1" t="s">
        <v>108</v>
      </c>
      <c r="C21" s="8">
        <v>0.2</v>
      </c>
      <c r="D21" s="1" t="s">
        <v>120</v>
      </c>
      <c r="E21" s="1" t="s">
        <v>121</v>
      </c>
      <c r="F21" s="1" t="s">
        <v>122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" t="s">
        <v>123</v>
      </c>
      <c r="B22" s="1" t="s">
        <v>108</v>
      </c>
      <c r="C22" s="8">
        <v>0.3</v>
      </c>
      <c r="D22" s="1" t="s">
        <v>120</v>
      </c>
      <c r="E22" s="1" t="s">
        <v>121</v>
      </c>
      <c r="F22" s="1" t="s">
        <v>124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" t="s">
        <v>125</v>
      </c>
      <c r="B23" s="1" t="s">
        <v>108</v>
      </c>
      <c r="C23" s="8">
        <v>0.7</v>
      </c>
      <c r="D23" s="1" t="s">
        <v>104</v>
      </c>
      <c r="E23" s="1" t="s">
        <v>105</v>
      </c>
      <c r="F23" s="1" t="s">
        <v>126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" t="s">
        <v>127</v>
      </c>
      <c r="B24" s="1" t="s">
        <v>108</v>
      </c>
      <c r="C24" s="8">
        <v>0.25</v>
      </c>
      <c r="D24" s="1" t="s">
        <v>104</v>
      </c>
      <c r="E24" s="1" t="s">
        <v>117</v>
      </c>
      <c r="F24" s="1" t="s">
        <v>128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" t="s">
        <v>129</v>
      </c>
      <c r="B25" s="1" t="s">
        <v>108</v>
      </c>
      <c r="C25" s="8">
        <v>0.25</v>
      </c>
      <c r="D25" s="1" t="s">
        <v>104</v>
      </c>
      <c r="E25" s="1" t="s">
        <v>117</v>
      </c>
      <c r="F25" s="1" t="s">
        <v>130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" t="s">
        <v>131</v>
      </c>
      <c r="B26" s="1" t="s">
        <v>108</v>
      </c>
      <c r="C26" s="8">
        <v>0.4</v>
      </c>
      <c r="D26" s="1" t="s">
        <v>104</v>
      </c>
      <c r="E26" s="1" t="s">
        <v>105</v>
      </c>
      <c r="F26" s="1" t="s">
        <v>132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5" t="s">
        <v>133</v>
      </c>
      <c r="B27" s="5"/>
      <c r="C27" s="5"/>
      <c r="D27" s="5"/>
      <c r="E27" s="5"/>
      <c r="F27" s="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" t="s">
        <v>134</v>
      </c>
      <c r="B28" s="1" t="s">
        <v>108</v>
      </c>
      <c r="C28" s="8">
        <v>6.4000000000000001E-2</v>
      </c>
      <c r="D28" s="1" t="s">
        <v>135</v>
      </c>
      <c r="E28" s="1" t="s">
        <v>136</v>
      </c>
      <c r="F28" s="1" t="s">
        <v>137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" t="s">
        <v>138</v>
      </c>
      <c r="B29" s="1" t="s">
        <v>108</v>
      </c>
      <c r="C29" s="8">
        <v>6.4000000000000001E-2</v>
      </c>
      <c r="D29" s="1" t="s">
        <v>135</v>
      </c>
      <c r="E29" s="1" t="s">
        <v>136</v>
      </c>
      <c r="F29" s="1" t="s">
        <v>139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" t="s">
        <v>140</v>
      </c>
      <c r="B30" s="1" t="s">
        <v>108</v>
      </c>
      <c r="C30" s="8">
        <v>6.4000000000000001E-2</v>
      </c>
      <c r="D30" s="1" t="s">
        <v>135</v>
      </c>
      <c r="E30" s="1" t="s">
        <v>136</v>
      </c>
      <c r="F30" s="1" t="s">
        <v>141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" t="s">
        <v>142</v>
      </c>
      <c r="B31" s="1" t="s">
        <v>108</v>
      </c>
      <c r="C31" s="8">
        <v>0.3</v>
      </c>
      <c r="D31" s="1" t="s">
        <v>104</v>
      </c>
      <c r="E31" s="1" t="s">
        <v>105</v>
      </c>
      <c r="F31" s="1" t="s">
        <v>143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" t="s">
        <v>144</v>
      </c>
      <c r="B32" s="1" t="s">
        <v>108</v>
      </c>
      <c r="C32" s="8">
        <v>0.3</v>
      </c>
      <c r="D32" s="1" t="s">
        <v>104</v>
      </c>
      <c r="E32" s="1" t="s">
        <v>105</v>
      </c>
      <c r="F32" s="1" t="s">
        <v>145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 t="s">
        <v>146</v>
      </c>
      <c r="B33" s="1" t="s">
        <v>108</v>
      </c>
      <c r="C33" s="8">
        <v>0.4</v>
      </c>
      <c r="D33" s="1" t="s">
        <v>104</v>
      </c>
      <c r="E33" s="1" t="s">
        <v>105</v>
      </c>
      <c r="F33" s="1" t="s">
        <v>147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 t="s">
        <v>148</v>
      </c>
      <c r="B34" s="1" t="s">
        <v>108</v>
      </c>
      <c r="C34" s="8">
        <v>0.45</v>
      </c>
      <c r="D34" s="1" t="s">
        <v>104</v>
      </c>
      <c r="E34" s="1" t="s">
        <v>105</v>
      </c>
      <c r="F34" s="1" t="s">
        <v>149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 t="s">
        <v>150</v>
      </c>
      <c r="B35" s="1" t="s">
        <v>108</v>
      </c>
      <c r="C35" s="8">
        <v>0.15</v>
      </c>
      <c r="D35" s="1" t="s">
        <v>104</v>
      </c>
      <c r="E35" s="1" t="s">
        <v>105</v>
      </c>
      <c r="F35" s="1" t="s">
        <v>151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 t="s">
        <v>152</v>
      </c>
      <c r="B36" s="1" t="s">
        <v>108</v>
      </c>
      <c r="C36" s="8">
        <v>0.7</v>
      </c>
      <c r="D36" s="1" t="s">
        <v>104</v>
      </c>
      <c r="E36" s="1" t="s">
        <v>105</v>
      </c>
      <c r="F36" s="1" t="s">
        <v>153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5" t="s">
        <v>154</v>
      </c>
      <c r="B37" s="5"/>
      <c r="C37" s="5"/>
      <c r="D37" s="5"/>
      <c r="E37" s="5"/>
      <c r="F37" s="5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 t="s">
        <v>155</v>
      </c>
      <c r="B38" s="1" t="s">
        <v>90</v>
      </c>
      <c r="C38" s="7">
        <v>200</v>
      </c>
      <c r="D38" s="1" t="s">
        <v>104</v>
      </c>
      <c r="E38" s="1" t="s">
        <v>105</v>
      </c>
      <c r="F38" s="1" t="s">
        <v>156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 t="s">
        <v>157</v>
      </c>
      <c r="B39" s="1" t="s">
        <v>90</v>
      </c>
      <c r="C39" s="7">
        <v>200</v>
      </c>
      <c r="D39" s="1" t="s">
        <v>104</v>
      </c>
      <c r="E39" s="1" t="s">
        <v>105</v>
      </c>
      <c r="F39" s="1" t="s">
        <v>156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 t="s">
        <v>158</v>
      </c>
      <c r="B40" s="1" t="s">
        <v>90</v>
      </c>
      <c r="C40" s="7">
        <v>400</v>
      </c>
      <c r="D40" s="1" t="s">
        <v>104</v>
      </c>
      <c r="E40" s="1" t="s">
        <v>105</v>
      </c>
      <c r="F40" s="1" t="s">
        <v>156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 t="s">
        <v>159</v>
      </c>
      <c r="B41" s="1" t="s">
        <v>90</v>
      </c>
      <c r="C41" s="7">
        <v>80</v>
      </c>
      <c r="D41" s="1" t="s">
        <v>104</v>
      </c>
      <c r="E41" s="1" t="s">
        <v>105</v>
      </c>
      <c r="F41" s="1" t="s">
        <v>160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 t="s">
        <v>161</v>
      </c>
      <c r="B42" s="1" t="s">
        <v>90</v>
      </c>
      <c r="C42" s="7">
        <v>200</v>
      </c>
      <c r="D42" s="1" t="s">
        <v>104</v>
      </c>
      <c r="E42" s="1" t="s">
        <v>105</v>
      </c>
      <c r="F42" s="1" t="s">
        <v>162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 t="s">
        <v>163</v>
      </c>
      <c r="B43" s="1" t="s">
        <v>90</v>
      </c>
      <c r="C43" s="7">
        <v>60</v>
      </c>
      <c r="D43" s="1" t="s">
        <v>104</v>
      </c>
      <c r="E43" s="1" t="s">
        <v>105</v>
      </c>
      <c r="F43" s="1" t="s">
        <v>164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 t="s">
        <v>165</v>
      </c>
      <c r="B44" s="1" t="s">
        <v>108</v>
      </c>
      <c r="C44" s="8">
        <v>1</v>
      </c>
      <c r="D44" s="1" t="s">
        <v>104</v>
      </c>
      <c r="E44" s="1" t="s">
        <v>105</v>
      </c>
      <c r="F44" s="1" t="s">
        <v>166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 t="s">
        <v>167</v>
      </c>
      <c r="B45" s="1" t="s">
        <v>168</v>
      </c>
      <c r="C45" s="7">
        <v>500</v>
      </c>
      <c r="D45" s="1" t="s">
        <v>104</v>
      </c>
      <c r="E45" s="1" t="s">
        <v>105</v>
      </c>
      <c r="F45" s="1" t="s">
        <v>169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 t="s">
        <v>170</v>
      </c>
      <c r="B46" s="1" t="s">
        <v>168</v>
      </c>
      <c r="C46" s="7">
        <v>100</v>
      </c>
      <c r="D46" s="1" t="s">
        <v>104</v>
      </c>
      <c r="E46" s="1" t="s">
        <v>105</v>
      </c>
      <c r="F46" s="1" t="s">
        <v>171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 t="s">
        <v>172</v>
      </c>
      <c r="B47" s="1" t="s">
        <v>173</v>
      </c>
      <c r="C47" s="7">
        <v>1.2</v>
      </c>
      <c r="D47" s="1" t="s">
        <v>104</v>
      </c>
      <c r="E47" s="1" t="s">
        <v>105</v>
      </c>
      <c r="F47" s="1" t="s">
        <v>174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 t="s">
        <v>175</v>
      </c>
      <c r="B48" s="1" t="s">
        <v>108</v>
      </c>
      <c r="C48" s="8">
        <v>0.5</v>
      </c>
      <c r="D48" s="1" t="s">
        <v>104</v>
      </c>
      <c r="E48" s="1" t="s">
        <v>105</v>
      </c>
      <c r="F48" s="1" t="s">
        <v>176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 t="s">
        <v>177</v>
      </c>
      <c r="B49" s="1" t="s">
        <v>178</v>
      </c>
      <c r="C49" s="9">
        <v>0.1</v>
      </c>
      <c r="D49" s="1" t="s">
        <v>179</v>
      </c>
      <c r="E49" s="1" t="s">
        <v>180</v>
      </c>
      <c r="F49" s="1" t="s">
        <v>181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 t="s">
        <v>182</v>
      </c>
      <c r="B50" s="1" t="s">
        <v>178</v>
      </c>
      <c r="C50" s="9">
        <v>0.4</v>
      </c>
      <c r="D50" s="1" t="s">
        <v>179</v>
      </c>
      <c r="E50" s="1" t="s">
        <v>180</v>
      </c>
      <c r="F50" s="1" t="s">
        <v>181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 t="s">
        <v>183</v>
      </c>
      <c r="B51" s="1" t="s">
        <v>178</v>
      </c>
      <c r="C51" s="9">
        <v>1.5</v>
      </c>
      <c r="D51" s="1" t="s">
        <v>184</v>
      </c>
      <c r="E51" s="1" t="s">
        <v>185</v>
      </c>
      <c r="F51" s="1" t="s">
        <v>186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 t="s">
        <v>187</v>
      </c>
      <c r="B52" s="1" t="s">
        <v>178</v>
      </c>
      <c r="C52" s="9">
        <v>7.5</v>
      </c>
      <c r="D52" s="1" t="s">
        <v>184</v>
      </c>
      <c r="E52" s="1" t="s">
        <v>185</v>
      </c>
      <c r="F52" s="1" t="s">
        <v>186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 t="s">
        <v>188</v>
      </c>
      <c r="B53" s="1" t="s">
        <v>108</v>
      </c>
      <c r="C53" s="8">
        <v>5.5E-2</v>
      </c>
      <c r="D53" s="1" t="s">
        <v>179</v>
      </c>
      <c r="E53" s="1" t="s">
        <v>189</v>
      </c>
      <c r="F53" s="1" t="s">
        <v>190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 t="s">
        <v>191</v>
      </c>
      <c r="B54" s="1" t="s">
        <v>78</v>
      </c>
      <c r="C54" s="6">
        <v>1400</v>
      </c>
      <c r="D54" s="1" t="s">
        <v>104</v>
      </c>
      <c r="E54" s="1" t="s">
        <v>105</v>
      </c>
      <c r="F54" s="1" t="s">
        <v>192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 t="s">
        <v>193</v>
      </c>
      <c r="B55" s="1" t="s">
        <v>108</v>
      </c>
      <c r="C55" s="8">
        <v>0</v>
      </c>
      <c r="D55" s="1" t="s">
        <v>104</v>
      </c>
      <c r="E55" s="1" t="s">
        <v>105</v>
      </c>
      <c r="F55" s="1" t="s">
        <v>194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 t="s">
        <v>195</v>
      </c>
      <c r="B56" s="1" t="s">
        <v>78</v>
      </c>
      <c r="C56" s="6">
        <v>0</v>
      </c>
      <c r="D56" s="1" t="s">
        <v>196</v>
      </c>
      <c r="E56" s="1" t="s">
        <v>105</v>
      </c>
      <c r="F56" s="1" t="s">
        <v>197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5" t="s">
        <v>198</v>
      </c>
      <c r="B57" s="5"/>
      <c r="C57" s="5"/>
      <c r="D57" s="5"/>
      <c r="E57" s="5"/>
      <c r="F57" s="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 t="s">
        <v>199</v>
      </c>
      <c r="B58" s="1" t="s">
        <v>178</v>
      </c>
      <c r="C58" s="7">
        <v>20</v>
      </c>
      <c r="D58" s="1" t="s">
        <v>179</v>
      </c>
      <c r="E58" s="1" t="s">
        <v>200</v>
      </c>
      <c r="F58" s="1" t="s">
        <v>201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 t="s">
        <v>202</v>
      </c>
      <c r="B59" s="1" t="s">
        <v>178</v>
      </c>
      <c r="C59" s="7">
        <v>0</v>
      </c>
      <c r="D59" s="1" t="s">
        <v>196</v>
      </c>
      <c r="E59" s="1" t="s">
        <v>200</v>
      </c>
      <c r="F59" s="1" t="s">
        <v>203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 t="s">
        <v>204</v>
      </c>
      <c r="B60" s="1" t="s">
        <v>178</v>
      </c>
      <c r="C60" s="7">
        <v>25</v>
      </c>
      <c r="D60" s="1" t="s">
        <v>179</v>
      </c>
      <c r="E60" s="1" t="s">
        <v>205</v>
      </c>
      <c r="F60" s="1" t="s">
        <v>206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 t="s">
        <v>207</v>
      </c>
      <c r="B61" s="1" t="s">
        <v>178</v>
      </c>
      <c r="C61" s="10">
        <v>3.2499999999999999E-3</v>
      </c>
      <c r="D61" s="1" t="s">
        <v>179</v>
      </c>
      <c r="E61" s="1" t="s">
        <v>205</v>
      </c>
      <c r="F61" s="1" t="s">
        <v>208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 t="s">
        <v>209</v>
      </c>
      <c r="B62" s="1" t="s">
        <v>178</v>
      </c>
      <c r="C62" s="7">
        <v>0</v>
      </c>
      <c r="D62" s="1" t="s">
        <v>196</v>
      </c>
      <c r="E62" s="1" t="s">
        <v>205</v>
      </c>
      <c r="F62" s="1" t="s">
        <v>210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 t="s">
        <v>211</v>
      </c>
      <c r="B63" s="1" t="s">
        <v>108</v>
      </c>
      <c r="C63" s="8">
        <v>3.4000000000000002E-2</v>
      </c>
      <c r="D63" s="1" t="s">
        <v>212</v>
      </c>
      <c r="E63" s="1" t="s">
        <v>213</v>
      </c>
      <c r="F63" s="1" t="s">
        <v>214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 t="s">
        <v>215</v>
      </c>
      <c r="B64" s="1" t="s">
        <v>78</v>
      </c>
      <c r="C64" s="6">
        <v>220000</v>
      </c>
      <c r="D64" s="1" t="s">
        <v>212</v>
      </c>
      <c r="E64" s="1" t="s">
        <v>213</v>
      </c>
      <c r="F64" s="1" t="s">
        <v>216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 t="s">
        <v>217</v>
      </c>
      <c r="B65" s="1" t="s">
        <v>78</v>
      </c>
      <c r="C65" s="6">
        <v>110000</v>
      </c>
      <c r="D65" s="1" t="s">
        <v>212</v>
      </c>
      <c r="E65" s="1" t="s">
        <v>213</v>
      </c>
      <c r="F65" s="1" t="s">
        <v>218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 t="s">
        <v>219</v>
      </c>
      <c r="B66" s="1" t="s">
        <v>78</v>
      </c>
      <c r="C66" s="6">
        <v>100</v>
      </c>
      <c r="D66" s="1" t="s">
        <v>104</v>
      </c>
      <c r="E66" s="1" t="s">
        <v>105</v>
      </c>
      <c r="F66" s="1" t="s">
        <v>220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 t="s">
        <v>221</v>
      </c>
      <c r="B67" s="1" t="s">
        <v>78</v>
      </c>
      <c r="C67" s="6">
        <v>0</v>
      </c>
      <c r="D67" s="1" t="s">
        <v>104</v>
      </c>
      <c r="E67" s="1" t="s">
        <v>105</v>
      </c>
      <c r="F67" s="1" t="s">
        <v>222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 t="s">
        <v>223</v>
      </c>
      <c r="B68" s="1" t="s">
        <v>78</v>
      </c>
      <c r="C68" s="6">
        <v>0</v>
      </c>
      <c r="D68" s="1" t="s">
        <v>104</v>
      </c>
      <c r="E68" s="1" t="s">
        <v>105</v>
      </c>
      <c r="F68" s="1" t="s">
        <v>224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 t="s">
        <v>225</v>
      </c>
      <c r="B69" s="1" t="s">
        <v>78</v>
      </c>
      <c r="C69" s="6">
        <v>200000</v>
      </c>
      <c r="D69" s="1" t="s">
        <v>104</v>
      </c>
      <c r="E69" s="1" t="s">
        <v>105</v>
      </c>
      <c r="F69" s="1" t="s">
        <v>226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 t="s">
        <v>227</v>
      </c>
      <c r="B70" s="1" t="s">
        <v>108</v>
      </c>
      <c r="C70" s="8">
        <v>0.1</v>
      </c>
      <c r="D70" s="1" t="s">
        <v>228</v>
      </c>
      <c r="E70" s="1" t="s">
        <v>229</v>
      </c>
      <c r="F70" s="1" t="s">
        <v>230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 t="s">
        <v>231</v>
      </c>
      <c r="B71" s="1" t="s">
        <v>108</v>
      </c>
      <c r="C71" s="8">
        <v>0.1</v>
      </c>
      <c r="D71" s="1" t="s">
        <v>232</v>
      </c>
      <c r="E71" s="1" t="s">
        <v>233</v>
      </c>
      <c r="F71" s="1" t="s">
        <v>234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5"/>
  <sheetViews>
    <sheetView showGridLines="0" zoomScale="75" workbookViewId="0">
      <pane xSplit="2" ySplit="4" topLeftCell="C5" activePane="bottomRight" state="frozen"/>
      <selection pane="topRight"/>
      <selection pane="bottomLeft"/>
      <selection pane="bottomRight" activeCell="C35" sqref="C35"/>
    </sheetView>
  </sheetViews>
  <sheetFormatPr baseColWidth="10" defaultColWidth="8.83203125" defaultRowHeight="14"/>
  <cols>
    <col min="1" max="1" width="33.33203125" customWidth="1"/>
    <col min="2" max="2" width="8.1640625" customWidth="1"/>
    <col min="3" max="26" width="12.1640625" customWidth="1"/>
  </cols>
  <sheetData>
    <row r="1" spans="1:26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2" t="s">
        <v>235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3"/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4" t="s">
        <v>2</v>
      </c>
      <c r="B4" s="4" t="s">
        <v>58</v>
      </c>
      <c r="C4" s="4" t="s">
        <v>26</v>
      </c>
      <c r="D4" s="4" t="s">
        <v>28</v>
      </c>
      <c r="E4" s="4" t="s">
        <v>30</v>
      </c>
      <c r="F4" s="4" t="s">
        <v>32</v>
      </c>
      <c r="G4" s="4" t="s">
        <v>34</v>
      </c>
      <c r="H4" s="4" t="s">
        <v>3</v>
      </c>
      <c r="I4" s="4" t="s">
        <v>37</v>
      </c>
      <c r="J4" s="4" t="s">
        <v>39</v>
      </c>
      <c r="K4" s="4" t="s">
        <v>41</v>
      </c>
      <c r="L4" s="4" t="s">
        <v>43</v>
      </c>
      <c r="M4" s="4" t="s">
        <v>44</v>
      </c>
      <c r="N4" s="4" t="s">
        <v>4</v>
      </c>
      <c r="O4" s="4" t="s">
        <v>45</v>
      </c>
      <c r="P4" s="4" t="s">
        <v>46</v>
      </c>
      <c r="Q4" s="4" t="s">
        <v>47</v>
      </c>
      <c r="R4" s="4" t="s">
        <v>48</v>
      </c>
      <c r="S4" s="4" t="s">
        <v>49</v>
      </c>
      <c r="T4" s="4" t="s">
        <v>50</v>
      </c>
      <c r="U4" s="4" t="s">
        <v>51</v>
      </c>
      <c r="V4" s="4" t="s">
        <v>52</v>
      </c>
      <c r="W4" s="4" t="s">
        <v>53</v>
      </c>
      <c r="X4" s="4" t="s">
        <v>54</v>
      </c>
      <c r="Y4" s="4" t="s">
        <v>55</v>
      </c>
      <c r="Z4" s="4" t="s">
        <v>5</v>
      </c>
    </row>
    <row r="5" spans="1:26" ht="16.5" customHeight="1">
      <c r="A5" s="4" t="s">
        <v>236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>
      <c r="A6" s="1" t="s">
        <v>237</v>
      </c>
      <c r="B6" s="1" t="s">
        <v>103</v>
      </c>
      <c r="C6" s="14">
        <f>Assumptions!$C$15</f>
        <v>25</v>
      </c>
      <c r="D6" s="14">
        <f>0</f>
        <v>0</v>
      </c>
      <c r="E6" s="14">
        <f>0</f>
        <v>0</v>
      </c>
      <c r="F6" s="14">
        <f>0</f>
        <v>0</v>
      </c>
      <c r="G6" s="14">
        <f>0</f>
        <v>0</v>
      </c>
      <c r="H6" s="14">
        <f>0</f>
        <v>0</v>
      </c>
      <c r="I6" s="14">
        <f>0</f>
        <v>0</v>
      </c>
      <c r="J6" s="14">
        <f>0</f>
        <v>0</v>
      </c>
      <c r="K6" s="14">
        <f>0</f>
        <v>0</v>
      </c>
      <c r="L6" s="14">
        <f>0</f>
        <v>0</v>
      </c>
      <c r="M6" s="14">
        <f>0</f>
        <v>0</v>
      </c>
      <c r="N6" s="14">
        <f>0</f>
        <v>0</v>
      </c>
      <c r="O6" s="14">
        <f>0</f>
        <v>0</v>
      </c>
      <c r="P6" s="14">
        <f>0</f>
        <v>0</v>
      </c>
      <c r="Q6" s="14">
        <f>0</f>
        <v>0</v>
      </c>
      <c r="R6" s="14">
        <f>0</f>
        <v>0</v>
      </c>
      <c r="S6" s="14">
        <f>0</f>
        <v>0</v>
      </c>
      <c r="T6" s="14">
        <f>0</f>
        <v>0</v>
      </c>
      <c r="U6" s="14">
        <f>0</f>
        <v>0</v>
      </c>
      <c r="V6" s="14">
        <f>0</f>
        <v>0</v>
      </c>
      <c r="W6" s="14">
        <f>0</f>
        <v>0</v>
      </c>
      <c r="X6" s="14">
        <f>0</f>
        <v>0</v>
      </c>
      <c r="Y6" s="14">
        <f>0</f>
        <v>0</v>
      </c>
      <c r="Z6" s="14">
        <f>0</f>
        <v>0</v>
      </c>
    </row>
    <row r="7" spans="1:26" ht="16.5" customHeight="1">
      <c r="A7" s="1" t="s">
        <v>238</v>
      </c>
      <c r="B7" s="1" t="s">
        <v>103</v>
      </c>
      <c r="C7" s="14">
        <f>C6*Assumptions!$C$16</f>
        <v>15</v>
      </c>
      <c r="D7" s="14">
        <f>D6*Assumptions!$C$16</f>
        <v>0</v>
      </c>
      <c r="E7" s="14">
        <f>E6*Assumptions!$C$16</f>
        <v>0</v>
      </c>
      <c r="F7" s="14">
        <f>F6*Assumptions!$C$16</f>
        <v>0</v>
      </c>
      <c r="G7" s="14">
        <f>G6*Assumptions!$C$16</f>
        <v>0</v>
      </c>
      <c r="H7" s="14">
        <f>H6*Assumptions!$C$16</f>
        <v>0</v>
      </c>
      <c r="I7" s="14">
        <f>I6*Assumptions!$C$16</f>
        <v>0</v>
      </c>
      <c r="J7" s="14">
        <f>J6*Assumptions!$C$16</f>
        <v>0</v>
      </c>
      <c r="K7" s="14">
        <f>K6*Assumptions!$C$16</f>
        <v>0</v>
      </c>
      <c r="L7" s="14">
        <f>L6*Assumptions!$C$16</f>
        <v>0</v>
      </c>
      <c r="M7" s="14">
        <f>M6*Assumptions!$C$16</f>
        <v>0</v>
      </c>
      <c r="N7" s="14">
        <f>N6*Assumptions!$C$16</f>
        <v>0</v>
      </c>
      <c r="O7" s="14">
        <f>O6*Assumptions!$C$16</f>
        <v>0</v>
      </c>
      <c r="P7" s="14">
        <f>P6*Assumptions!$C$16</f>
        <v>0</v>
      </c>
      <c r="Q7" s="14">
        <f>Q6*Assumptions!$C$16</f>
        <v>0</v>
      </c>
      <c r="R7" s="14">
        <f>R6*Assumptions!$C$16</f>
        <v>0</v>
      </c>
      <c r="S7" s="14">
        <f>S6*Assumptions!$C$16</f>
        <v>0</v>
      </c>
      <c r="T7" s="14">
        <f>T6*Assumptions!$C$16</f>
        <v>0</v>
      </c>
      <c r="U7" s="14">
        <f>U6*Assumptions!$C$16</f>
        <v>0</v>
      </c>
      <c r="V7" s="14">
        <f>V6*Assumptions!$C$16</f>
        <v>0</v>
      </c>
      <c r="W7" s="14">
        <f>W6*Assumptions!$C$16</f>
        <v>0</v>
      </c>
      <c r="X7" s="14">
        <f>X6*Assumptions!$C$16</f>
        <v>0</v>
      </c>
      <c r="Y7" s="14">
        <f>Y6*Assumptions!$C$16</f>
        <v>0</v>
      </c>
      <c r="Z7" s="14">
        <f>Z6*Assumptions!$C$16</f>
        <v>0</v>
      </c>
    </row>
    <row r="8" spans="1:26" ht="16.5" customHeight="1">
      <c r="A8" s="1" t="s">
        <v>239</v>
      </c>
      <c r="B8" s="1" t="s">
        <v>103</v>
      </c>
      <c r="C8" s="14">
        <f>C7*Assumptions!$C$17</f>
        <v>10.5</v>
      </c>
      <c r="D8" s="14">
        <f>D7*Assumptions!$C$17</f>
        <v>0</v>
      </c>
      <c r="E8" s="14">
        <f>E7*Assumptions!$C$17</f>
        <v>0</v>
      </c>
      <c r="F8" s="14">
        <f>F7*Assumptions!$C$17</f>
        <v>0</v>
      </c>
      <c r="G8" s="14">
        <f>G7*Assumptions!$C$17</f>
        <v>0</v>
      </c>
      <c r="H8" s="14">
        <f>H7*Assumptions!$C$17</f>
        <v>0</v>
      </c>
      <c r="I8" s="14">
        <f>I7*Assumptions!$C$17</f>
        <v>0</v>
      </c>
      <c r="J8" s="14">
        <f>J7*Assumptions!$C$17</f>
        <v>0</v>
      </c>
      <c r="K8" s="14">
        <f>K7*Assumptions!$C$17</f>
        <v>0</v>
      </c>
      <c r="L8" s="14">
        <f>L7*Assumptions!$C$17</f>
        <v>0</v>
      </c>
      <c r="M8" s="14">
        <f>M7*Assumptions!$C$17</f>
        <v>0</v>
      </c>
      <c r="N8" s="14">
        <f>N7*Assumptions!$C$17</f>
        <v>0</v>
      </c>
      <c r="O8" s="14">
        <f>O7*Assumptions!$C$17</f>
        <v>0</v>
      </c>
      <c r="P8" s="14">
        <f>P7*Assumptions!$C$17</f>
        <v>0</v>
      </c>
      <c r="Q8" s="14">
        <f>Q7*Assumptions!$C$17</f>
        <v>0</v>
      </c>
      <c r="R8" s="14">
        <f>R7*Assumptions!$C$17</f>
        <v>0</v>
      </c>
      <c r="S8" s="14">
        <f>S7*Assumptions!$C$17</f>
        <v>0</v>
      </c>
      <c r="T8" s="14">
        <f>T7*Assumptions!$C$17</f>
        <v>0</v>
      </c>
      <c r="U8" s="14">
        <f>U7*Assumptions!$C$17</f>
        <v>0</v>
      </c>
      <c r="V8" s="14">
        <f>V7*Assumptions!$C$17</f>
        <v>0</v>
      </c>
      <c r="W8" s="14">
        <f>W7*Assumptions!$C$17</f>
        <v>0</v>
      </c>
      <c r="X8" s="14">
        <f>X7*Assumptions!$C$17</f>
        <v>0</v>
      </c>
      <c r="Y8" s="14">
        <f>Y7*Assumptions!$C$17</f>
        <v>0</v>
      </c>
      <c r="Z8" s="14">
        <f>Z7*Assumptions!$C$17</f>
        <v>0</v>
      </c>
    </row>
    <row r="9" spans="1:26" ht="16.5" customHeight="1">
      <c r="A9" s="1" t="s">
        <v>240</v>
      </c>
      <c r="B9" s="1" t="s">
        <v>103</v>
      </c>
      <c r="C9" s="14">
        <f>Assumptions!$C$18*(1+Assumptions!$C$19)^0*Assumptions!$G$6</f>
        <v>20</v>
      </c>
      <c r="D9" s="14">
        <f>Assumptions!$C$18*(1+Assumptions!$C$19)^1*Assumptions!$H$6</f>
        <v>21</v>
      </c>
      <c r="E9" s="14">
        <f>Assumptions!$C$18*(1+Assumptions!$C$19)^2*Assumptions!$I$6</f>
        <v>22.05</v>
      </c>
      <c r="F9" s="14">
        <f>Assumptions!$C$18*(1+Assumptions!$C$19)^3*Assumptions!$J$6</f>
        <v>23.152500000000003</v>
      </c>
      <c r="G9" s="14">
        <f>Assumptions!$C$18*(1+Assumptions!$C$19)^4*Assumptions!$K$6</f>
        <v>24.310124999999999</v>
      </c>
      <c r="H9" s="14">
        <f>Assumptions!$C$18*(1+Assumptions!$C$19)^5*Assumptions!$L$6</f>
        <v>25.525631250000004</v>
      </c>
      <c r="I9" s="14">
        <f>Assumptions!$C$18*(1+Assumptions!$C$19)^6*Assumptions!$M$6</f>
        <v>26.801912812499999</v>
      </c>
      <c r="J9" s="14">
        <f>Assumptions!$C$18*(1+Assumptions!$C$19)^7*Assumptions!$N$6</f>
        <v>28.142008453125005</v>
      </c>
      <c r="K9" s="14">
        <f>Assumptions!$C$18*(1+Assumptions!$C$19)^8*Assumptions!$O$6</f>
        <v>29.549108875781251</v>
      </c>
      <c r="L9" s="14">
        <f>Assumptions!$C$18*(1+Assumptions!$C$19)^9*Assumptions!$P$6</f>
        <v>31.026564319570316</v>
      </c>
      <c r="M9" s="14">
        <f>Assumptions!$C$18*(1+Assumptions!$C$19)^10*Assumptions!$Q$6</f>
        <v>32.577892535548834</v>
      </c>
      <c r="N9" s="14">
        <f>Assumptions!$C$18*(1+Assumptions!$C$19)^11*Assumptions!$R$6</f>
        <v>34.206787162326279</v>
      </c>
      <c r="O9" s="14">
        <f>Assumptions!$C$18*(1+Assumptions!$C$19)^12*Assumptions!$G$6</f>
        <v>35.917126520442586</v>
      </c>
      <c r="P9" s="14">
        <f>Assumptions!$C$18*(1+Assumptions!$C$19)^13*Assumptions!$H$6</f>
        <v>37.712982846464719</v>
      </c>
      <c r="Q9" s="14">
        <f>Assumptions!$C$18*(1+Assumptions!$C$19)^14*Assumptions!$I$6</f>
        <v>39.598631988787943</v>
      </c>
      <c r="R9" s="14">
        <f>Assumptions!$C$18*(1+Assumptions!$C$19)^15*Assumptions!$J$6</f>
        <v>41.578563588227354</v>
      </c>
      <c r="S9" s="14">
        <f>Assumptions!$C$18*(1+Assumptions!$C$19)^16*Assumptions!$K$6</f>
        <v>43.657491767638717</v>
      </c>
      <c r="T9" s="14">
        <f>Assumptions!$C$18*(1+Assumptions!$C$19)^17*Assumptions!$L$6</f>
        <v>45.840366356020667</v>
      </c>
      <c r="U9" s="14">
        <f>Assumptions!$C$18*(1+Assumptions!$C$19)^18*Assumptions!$M$6</f>
        <v>48.132384673821697</v>
      </c>
      <c r="V9" s="14">
        <f>Assumptions!$C$18*(1+Assumptions!$C$19)^19*Assumptions!$N$6</f>
        <v>50.539003907512779</v>
      </c>
      <c r="W9" s="14">
        <f>Assumptions!$C$18*(1+Assumptions!$C$19)^20*Assumptions!$O$6</f>
        <v>53.065954102888419</v>
      </c>
      <c r="X9" s="14">
        <f>Assumptions!$C$18*(1+Assumptions!$C$19)^21*Assumptions!$P$6</f>
        <v>55.719251808032837</v>
      </c>
      <c r="Y9" s="14">
        <f>Assumptions!$C$18*(1+Assumptions!$C$19)^22*Assumptions!$Q$6</f>
        <v>58.505214398434475</v>
      </c>
      <c r="Z9" s="14">
        <f>Assumptions!$C$18*(1+Assumptions!$C$19)^23*Assumptions!$R$6</f>
        <v>61.430475118356213</v>
      </c>
    </row>
    <row r="10" spans="1:26" ht="16.5" customHeight="1">
      <c r="A10" s="1" t="s">
        <v>241</v>
      </c>
      <c r="B10" s="1" t="s">
        <v>103</v>
      </c>
      <c r="C10" s="14">
        <f>0</f>
        <v>0</v>
      </c>
      <c r="D10" s="14">
        <f>(C8+C12)*Assumptions!$C$21</f>
        <v>2.1</v>
      </c>
      <c r="E10" s="14">
        <f>(D8+D12)*Assumptions!$C$21</f>
        <v>0.1764</v>
      </c>
      <c r="F10" s="14">
        <f>(E8+E12)*Assumptions!$C$21</f>
        <v>1.48176E-2</v>
      </c>
      <c r="G10" s="14">
        <f>(F8+F12)*Assumptions!$C$21</f>
        <v>1.2446784000000001E-3</v>
      </c>
      <c r="H10" s="14">
        <f>(G8+G12)*Assumptions!$C$21</f>
        <v>1.045529856E-4</v>
      </c>
      <c r="I10" s="14">
        <f>(H8+H12)*Assumptions!$C$21</f>
        <v>8.7824507904000001E-6</v>
      </c>
      <c r="J10" s="14">
        <f>(I8+I12)*Assumptions!$C$21</f>
        <v>7.3772586639359987E-7</v>
      </c>
      <c r="K10" s="14">
        <f>(J8+J12)*Assumptions!$C$21</f>
        <v>6.1968972777062383E-8</v>
      </c>
      <c r="L10" s="14">
        <f>(K8+K12)*Assumptions!$C$21</f>
        <v>5.2053937132732403E-9</v>
      </c>
      <c r="M10" s="14">
        <f>(L8+L12)*Assumptions!$C$21</f>
        <v>4.3725307191495216E-10</v>
      </c>
      <c r="N10" s="14">
        <f>(M8+M12)*Assumptions!$C$21</f>
        <v>3.6729258040855985E-11</v>
      </c>
      <c r="O10" s="14">
        <f>(N8+N12)*Assumptions!$C$21</f>
        <v>3.0852576754319026E-12</v>
      </c>
      <c r="P10" s="14">
        <f>(O8+O12)*Assumptions!$C$21</f>
        <v>2.5916164473627976E-13</v>
      </c>
      <c r="Q10" s="14">
        <f>(P8+P12)*Assumptions!$C$21</f>
        <v>2.17695781578475E-14</v>
      </c>
      <c r="R10" s="14">
        <f>(Q8+Q12)*Assumptions!$C$21</f>
        <v>1.8286445652591898E-15</v>
      </c>
      <c r="S10" s="14">
        <f>(R8+R12)*Assumptions!$C$21</f>
        <v>1.5360614348177193E-16</v>
      </c>
      <c r="T10" s="14">
        <f>(S8+S12)*Assumptions!$C$21</f>
        <v>1.2902916052468844E-17</v>
      </c>
      <c r="U10" s="14">
        <f>(T8+T12)*Assumptions!$C$21</f>
        <v>1.0838449484073828E-18</v>
      </c>
      <c r="V10" s="14">
        <f>(U8+U12)*Assumptions!$C$21</f>
        <v>9.1042975666220147E-20</v>
      </c>
      <c r="W10" s="14">
        <f>(V8+V12)*Assumptions!$C$21</f>
        <v>7.647609955962492E-21</v>
      </c>
      <c r="X10" s="14">
        <f>(W8+W12)*Assumptions!$C$21</f>
        <v>6.4239923630084931E-22</v>
      </c>
      <c r="Y10" s="14">
        <f>(X8+X12)*Assumptions!$C$21</f>
        <v>5.3961535849271337E-23</v>
      </c>
      <c r="Z10" s="14">
        <f>(Y8+Y12)*Assumptions!$C$21</f>
        <v>4.5327690113387919E-24</v>
      </c>
    </row>
    <row r="11" spans="1:26" ht="16.5" customHeight="1">
      <c r="A11" s="1" t="s">
        <v>242</v>
      </c>
      <c r="B11" s="1" t="s">
        <v>103</v>
      </c>
      <c r="C11" s="14">
        <f>C10*Assumptions!$C$11*Assumptions!$C$22</f>
        <v>0</v>
      </c>
      <c r="D11" s="14">
        <f>D10*Assumptions!$C$11*Assumptions!$C$22</f>
        <v>1.26</v>
      </c>
      <c r="E11" s="14">
        <f>E10*Assumptions!$C$11*Assumptions!$C$22</f>
        <v>0.10584</v>
      </c>
      <c r="F11" s="14">
        <f>F10*Assumptions!$C$11*Assumptions!$C$22</f>
        <v>8.8905600000000005E-3</v>
      </c>
      <c r="G11" s="14">
        <f>G10*Assumptions!$C$11*Assumptions!$C$22</f>
        <v>7.4680704E-4</v>
      </c>
      <c r="H11" s="14">
        <f>H10*Assumptions!$C$11*Assumptions!$C$22</f>
        <v>6.2731791359999997E-5</v>
      </c>
      <c r="I11" s="14">
        <f>I10*Assumptions!$C$11*Assumptions!$C$22</f>
        <v>5.2694704742399995E-6</v>
      </c>
      <c r="J11" s="14">
        <f>J10*Assumptions!$C$11*Assumptions!$C$22</f>
        <v>4.426355198361599E-7</v>
      </c>
      <c r="K11" s="14">
        <f>K10*Assumptions!$C$11*Assumptions!$C$22</f>
        <v>3.7181383666237431E-8</v>
      </c>
      <c r="L11" s="14">
        <f>L10*Assumptions!$C$11*Assumptions!$C$22</f>
        <v>3.1232362279639442E-9</v>
      </c>
      <c r="M11" s="14">
        <f>M10*Assumptions!$C$11*Assumptions!$C$22</f>
        <v>2.6235184314897129E-10</v>
      </c>
      <c r="N11" s="14">
        <f>N10*Assumptions!$C$11*Assumptions!$C$22</f>
        <v>2.2037554824513591E-11</v>
      </c>
      <c r="O11" s="14">
        <f>O10*Assumptions!$C$11*Assumptions!$C$22</f>
        <v>1.8511546052591413E-12</v>
      </c>
      <c r="P11" s="14">
        <f>P10*Assumptions!$C$11*Assumptions!$C$22</f>
        <v>1.5549698684176784E-13</v>
      </c>
      <c r="Q11" s="14">
        <f>Q10*Assumptions!$C$11*Assumptions!$C$22</f>
        <v>1.3061746894708499E-14</v>
      </c>
      <c r="R11" s="14">
        <f>R10*Assumptions!$C$11*Assumptions!$C$22</f>
        <v>1.0971867391555137E-15</v>
      </c>
      <c r="S11" s="14">
        <f>S10*Assumptions!$C$11*Assumptions!$C$22</f>
        <v>9.216368608906316E-17</v>
      </c>
      <c r="T11" s="14">
        <f>T10*Assumptions!$C$11*Assumptions!$C$22</f>
        <v>7.7417496314813059E-18</v>
      </c>
      <c r="U11" s="14">
        <f>U10*Assumptions!$C$11*Assumptions!$C$22</f>
        <v>6.5030696904442966E-19</v>
      </c>
      <c r="V11" s="14">
        <f>V10*Assumptions!$C$11*Assumptions!$C$22</f>
        <v>5.4625785399732086E-20</v>
      </c>
      <c r="W11" s="14">
        <f>W10*Assumptions!$C$11*Assumptions!$C$22</f>
        <v>4.5885659735774951E-21</v>
      </c>
      <c r="X11" s="14">
        <f>X10*Assumptions!$C$11*Assumptions!$C$22</f>
        <v>3.8543954178050956E-22</v>
      </c>
      <c r="Y11" s="14">
        <f>Y10*Assumptions!$C$11*Assumptions!$C$22</f>
        <v>3.2376921509562801E-23</v>
      </c>
      <c r="Z11" s="14">
        <f>Z10*Assumptions!$C$11*Assumptions!$C$22</f>
        <v>2.7196614068032751E-24</v>
      </c>
    </row>
    <row r="12" spans="1:26" ht="16.5" customHeight="1">
      <c r="A12" s="1" t="s">
        <v>243</v>
      </c>
      <c r="B12" s="1" t="s">
        <v>103</v>
      </c>
      <c r="C12" s="14">
        <f>C11*Assumptions!$C$23</f>
        <v>0</v>
      </c>
      <c r="D12" s="14">
        <f>D11*Assumptions!$C$23</f>
        <v>0.8819999999999999</v>
      </c>
      <c r="E12" s="14">
        <f>E11*Assumptions!$C$23</f>
        <v>7.4088000000000001E-2</v>
      </c>
      <c r="F12" s="14">
        <f>F11*Assumptions!$C$23</f>
        <v>6.2233920000000003E-3</v>
      </c>
      <c r="G12" s="14">
        <f>G11*Assumptions!$C$23</f>
        <v>5.2276492799999998E-4</v>
      </c>
      <c r="H12" s="14">
        <f>H11*Assumptions!$C$23</f>
        <v>4.3912253951999995E-5</v>
      </c>
      <c r="I12" s="14">
        <f>I11*Assumptions!$C$23</f>
        <v>3.6886293319679993E-6</v>
      </c>
      <c r="J12" s="14">
        <f>J11*Assumptions!$C$23</f>
        <v>3.0984486388531189E-7</v>
      </c>
      <c r="K12" s="14">
        <f>K11*Assumptions!$C$23</f>
        <v>2.60269685663662E-8</v>
      </c>
      <c r="L12" s="14">
        <f>L11*Assumptions!$C$23</f>
        <v>2.1862653595747607E-9</v>
      </c>
      <c r="M12" s="14">
        <f>M11*Assumptions!$C$23</f>
        <v>1.836462902042799E-10</v>
      </c>
      <c r="N12" s="14">
        <f>N11*Assumptions!$C$23</f>
        <v>1.5426288377159512E-11</v>
      </c>
      <c r="O12" s="14">
        <f>O11*Assumptions!$C$23</f>
        <v>1.2958082236813989E-12</v>
      </c>
      <c r="P12" s="14">
        <f>P11*Assumptions!$C$23</f>
        <v>1.0884789078923749E-13</v>
      </c>
      <c r="Q12" s="14">
        <f>Q11*Assumptions!$C$23</f>
        <v>9.1432228262959492E-15</v>
      </c>
      <c r="R12" s="14">
        <f>R11*Assumptions!$C$23</f>
        <v>7.6803071740885959E-16</v>
      </c>
      <c r="S12" s="14">
        <f>S11*Assumptions!$C$23</f>
        <v>6.4514580262344212E-17</v>
      </c>
      <c r="T12" s="14">
        <f>T11*Assumptions!$C$23</f>
        <v>5.419224742036914E-18</v>
      </c>
      <c r="U12" s="14">
        <f>U11*Assumptions!$C$23</f>
        <v>4.5521487833110071E-19</v>
      </c>
      <c r="V12" s="14">
        <f>V11*Assumptions!$C$23</f>
        <v>3.823804977981246E-20</v>
      </c>
      <c r="W12" s="14">
        <f>W11*Assumptions!$C$23</f>
        <v>3.2119961815042462E-21</v>
      </c>
      <c r="X12" s="14">
        <f>X11*Assumptions!$C$23</f>
        <v>2.6980767924635668E-22</v>
      </c>
      <c r="Y12" s="14">
        <f>Y11*Assumptions!$C$23</f>
        <v>2.2663845056693959E-23</v>
      </c>
      <c r="Z12" s="14">
        <f>Z11*Assumptions!$C$23</f>
        <v>1.9037629847622924E-24</v>
      </c>
    </row>
    <row r="13" spans="1:26" ht="16.5" customHeight="1">
      <c r="A13" s="1" t="s">
        <v>244</v>
      </c>
      <c r="B13" s="1" t="s">
        <v>103</v>
      </c>
      <c r="C13" s="14">
        <f>C9*Assumptions!$C$20</f>
        <v>12</v>
      </c>
      <c r="D13" s="14">
        <f>D9*Assumptions!$C$20</f>
        <v>12.6</v>
      </c>
      <c r="E13" s="14">
        <f>E9*Assumptions!$C$20</f>
        <v>13.23</v>
      </c>
      <c r="F13" s="14">
        <f>F9*Assumptions!$C$20</f>
        <v>13.891500000000002</v>
      </c>
      <c r="G13" s="14">
        <f>G9*Assumptions!$C$20</f>
        <v>14.586074999999999</v>
      </c>
      <c r="H13" s="14">
        <f>H9*Assumptions!$C$20</f>
        <v>15.315378750000001</v>
      </c>
      <c r="I13" s="14">
        <f>I9*Assumptions!$C$20</f>
        <v>16.0811476875</v>
      </c>
      <c r="J13" s="14">
        <f>J9*Assumptions!$C$20</f>
        <v>16.885205071875003</v>
      </c>
      <c r="K13" s="14">
        <f>K9*Assumptions!$C$20</f>
        <v>17.729465325468748</v>
      </c>
      <c r="L13" s="14">
        <f>L9*Assumptions!$C$20</f>
        <v>18.615938591742189</v>
      </c>
      <c r="M13" s="14">
        <f>M9*Assumptions!$C$20</f>
        <v>19.5467355213293</v>
      </c>
      <c r="N13" s="14">
        <f>N9*Assumptions!$C$20</f>
        <v>20.524072297395765</v>
      </c>
      <c r="O13" s="14">
        <f>O9*Assumptions!$C$20</f>
        <v>21.550275912265551</v>
      </c>
      <c r="P13" s="14">
        <f>P9*Assumptions!$C$20</f>
        <v>22.627789707878829</v>
      </c>
      <c r="Q13" s="14">
        <f>Q9*Assumptions!$C$20</f>
        <v>23.759179193272765</v>
      </c>
      <c r="R13" s="14">
        <f>R9*Assumptions!$C$20</f>
        <v>24.947138152936411</v>
      </c>
      <c r="S13" s="14">
        <f>S9*Assumptions!$C$20</f>
        <v>26.194495060583229</v>
      </c>
      <c r="T13" s="14">
        <f>T9*Assumptions!$C$20</f>
        <v>27.504219813612398</v>
      </c>
      <c r="U13" s="14">
        <f>U9*Assumptions!$C$20</f>
        <v>28.879430804293015</v>
      </c>
      <c r="V13" s="14">
        <f>V9*Assumptions!$C$20</f>
        <v>30.323402344507667</v>
      </c>
      <c r="W13" s="14">
        <f>W9*Assumptions!$C$20</f>
        <v>31.839572461733049</v>
      </c>
      <c r="X13" s="14">
        <f>X9*Assumptions!$C$20</f>
        <v>33.431551084819702</v>
      </c>
      <c r="Y13" s="14">
        <f>Y9*Assumptions!$C$20</f>
        <v>35.103128639060685</v>
      </c>
      <c r="Z13" s="14">
        <f>Z9*Assumptions!$C$20</f>
        <v>36.858285071013725</v>
      </c>
    </row>
    <row r="14" spans="1:26" ht="16.5" customHeight="1">
      <c r="A14" s="5" t="s">
        <v>245</v>
      </c>
      <c r="B14" s="5" t="s">
        <v>103</v>
      </c>
      <c r="C14" s="16">
        <f t="shared" ref="C14:Z14" si="0">SUM(C7,C9,C11)</f>
        <v>35</v>
      </c>
      <c r="D14" s="16">
        <f t="shared" si="0"/>
        <v>22.26</v>
      </c>
      <c r="E14" s="16">
        <f t="shared" si="0"/>
        <v>22.155840000000001</v>
      </c>
      <c r="F14" s="16">
        <f t="shared" si="0"/>
        <v>23.161390560000005</v>
      </c>
      <c r="G14" s="16">
        <f t="shared" si="0"/>
        <v>24.310871807039998</v>
      </c>
      <c r="H14" s="16">
        <f t="shared" si="0"/>
        <v>25.525693981791363</v>
      </c>
      <c r="I14" s="16">
        <f t="shared" si="0"/>
        <v>26.801918081970474</v>
      </c>
      <c r="J14" s="16">
        <f t="shared" si="0"/>
        <v>28.142008895760526</v>
      </c>
      <c r="K14" s="16">
        <f t="shared" si="0"/>
        <v>29.549108912962634</v>
      </c>
      <c r="L14" s="16">
        <f t="shared" si="0"/>
        <v>31.026564322693552</v>
      </c>
      <c r="M14" s="16">
        <f t="shared" si="0"/>
        <v>32.577892535811188</v>
      </c>
      <c r="N14" s="16">
        <f t="shared" si="0"/>
        <v>34.20678716234832</v>
      </c>
      <c r="O14" s="16">
        <f t="shared" si="0"/>
        <v>35.917126520444441</v>
      </c>
      <c r="P14" s="16">
        <f t="shared" si="0"/>
        <v>37.712982846464875</v>
      </c>
      <c r="Q14" s="16">
        <f t="shared" si="0"/>
        <v>39.598631988787957</v>
      </c>
      <c r="R14" s="16">
        <f t="shared" si="0"/>
        <v>41.578563588227354</v>
      </c>
      <c r="S14" s="16">
        <f t="shared" si="0"/>
        <v>43.657491767638717</v>
      </c>
      <c r="T14" s="16">
        <f t="shared" si="0"/>
        <v>45.840366356020667</v>
      </c>
      <c r="U14" s="16">
        <f t="shared" si="0"/>
        <v>48.132384673821697</v>
      </c>
      <c r="V14" s="16">
        <f t="shared" si="0"/>
        <v>50.539003907512779</v>
      </c>
      <c r="W14" s="16">
        <f t="shared" si="0"/>
        <v>53.065954102888419</v>
      </c>
      <c r="X14" s="16">
        <f t="shared" si="0"/>
        <v>55.719251808032837</v>
      </c>
      <c r="Y14" s="16">
        <f t="shared" si="0"/>
        <v>58.505214398434475</v>
      </c>
      <c r="Z14" s="16">
        <f t="shared" si="0"/>
        <v>61.430475118356213</v>
      </c>
    </row>
    <row r="15" spans="1:26" ht="16.5" customHeight="1">
      <c r="A15" s="5" t="s">
        <v>246</v>
      </c>
      <c r="B15" s="5" t="s">
        <v>103</v>
      </c>
      <c r="C15" s="16">
        <f t="shared" ref="C15:Z15" si="1">SUM(C8,C13,C12)</f>
        <v>22.5</v>
      </c>
      <c r="D15" s="16">
        <f t="shared" si="1"/>
        <v>13.481999999999999</v>
      </c>
      <c r="E15" s="16">
        <f t="shared" si="1"/>
        <v>13.304088</v>
      </c>
      <c r="F15" s="16">
        <f t="shared" si="1"/>
        <v>13.897723392000003</v>
      </c>
      <c r="G15" s="16">
        <f t="shared" si="1"/>
        <v>14.586597764927999</v>
      </c>
      <c r="H15" s="16">
        <f t="shared" si="1"/>
        <v>15.315422662253953</v>
      </c>
      <c r="I15" s="16">
        <f t="shared" si="1"/>
        <v>16.081151376129331</v>
      </c>
      <c r="J15" s="16">
        <f t="shared" si="1"/>
        <v>16.885205381719867</v>
      </c>
      <c r="K15" s="16">
        <f t="shared" si="1"/>
        <v>17.729465351495715</v>
      </c>
      <c r="L15" s="16">
        <f t="shared" si="1"/>
        <v>18.615938593928455</v>
      </c>
      <c r="M15" s="16">
        <f t="shared" si="1"/>
        <v>19.546735521512947</v>
      </c>
      <c r="N15" s="16">
        <f t="shared" si="1"/>
        <v>20.524072297411191</v>
      </c>
      <c r="O15" s="16">
        <f t="shared" si="1"/>
        <v>21.550275912266848</v>
      </c>
      <c r="P15" s="16">
        <f t="shared" si="1"/>
        <v>22.627789707878939</v>
      </c>
      <c r="Q15" s="16">
        <f t="shared" si="1"/>
        <v>23.759179193272775</v>
      </c>
      <c r="R15" s="16">
        <f t="shared" si="1"/>
        <v>24.947138152936411</v>
      </c>
      <c r="S15" s="16">
        <f t="shared" si="1"/>
        <v>26.194495060583229</v>
      </c>
      <c r="T15" s="16">
        <f t="shared" si="1"/>
        <v>27.504219813612398</v>
      </c>
      <c r="U15" s="16">
        <f t="shared" si="1"/>
        <v>28.879430804293015</v>
      </c>
      <c r="V15" s="16">
        <f t="shared" si="1"/>
        <v>30.323402344507667</v>
      </c>
      <c r="W15" s="16">
        <f t="shared" si="1"/>
        <v>31.839572461733049</v>
      </c>
      <c r="X15" s="16">
        <f t="shared" si="1"/>
        <v>33.431551084819702</v>
      </c>
      <c r="Y15" s="16">
        <f t="shared" si="1"/>
        <v>35.103128639060685</v>
      </c>
      <c r="Z15" s="16">
        <f t="shared" si="1"/>
        <v>36.858285071013725</v>
      </c>
    </row>
    <row r="16" spans="1:2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4" t="s">
        <v>247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>
      <c r="A18" s="1" t="s">
        <v>248</v>
      </c>
      <c r="B18" s="1" t="s">
        <v>103</v>
      </c>
      <c r="C18" s="14">
        <f>SUM(IF(0=MAX(1,ROUNDUP(Assumptions!$C$9/30,0)),C13*Assumptions!$C$24,0))</f>
        <v>0</v>
      </c>
      <c r="D18" s="14">
        <f>SUM(IF(1=MAX(1,ROUNDUP(Assumptions!$C$9/30,0)),C13*Assumptions!$C$24,0),IF(0=MAX(1,ROUNDUP(Assumptions!$C$9/30,0)),D13*Assumptions!$C$24,0))</f>
        <v>3</v>
      </c>
      <c r="E18" s="14">
        <f>SUM(IF(2=MAX(1,ROUNDUP(Assumptions!$C$9/30,0)),C13*Assumptions!$C$24,0),IF(1=MAX(1,ROUNDUP(Assumptions!$C$9/30,0)),D13*Assumptions!$C$24,0),IF(0=MAX(1,ROUNDUP(Assumptions!$C$9/30,0)),E13*Assumptions!$C$24,0))</f>
        <v>3.15</v>
      </c>
      <c r="F18" s="14">
        <f>SUM(IF(3=MAX(1,ROUNDUP(Assumptions!$C$9/30,0)),C13*Assumptions!$C$24,0),IF(2=MAX(1,ROUNDUP(Assumptions!$C$9/30,0)),D13*Assumptions!$C$24,0),IF(1=MAX(1,ROUNDUP(Assumptions!$C$9/30,0)),E13*Assumptions!$C$24,0),IF(0=MAX(1,ROUNDUP(Assumptions!$C$9/30,0)),F13*Assumptions!$C$24,0))</f>
        <v>3.3075000000000001</v>
      </c>
      <c r="G18" s="14">
        <f>SUM(IF(4=MAX(1,ROUNDUP(Assumptions!$C$9/30,0)),C13*Assumptions!$C$24,0),IF(3=MAX(1,ROUNDUP(Assumptions!$C$9/30,0)),D13*Assumptions!$C$24,0),IF(2=MAX(1,ROUNDUP(Assumptions!$C$9/30,0)),E13*Assumptions!$C$24,0),IF(1=MAX(1,ROUNDUP(Assumptions!$C$9/30,0)),F13*Assumptions!$C$24,0),IF(0=MAX(1,ROUNDUP(Assumptions!$C$9/30,0)),G13*Assumptions!$C$24,0))</f>
        <v>3.4728750000000006</v>
      </c>
      <c r="H18" s="14">
        <f>SUM(IF(5=MAX(1,ROUNDUP(Assumptions!$C$9/30,0)),C13*Assumptions!$C$24,0),IF(4=MAX(1,ROUNDUP(Assumptions!$C$9/30,0)),D13*Assumptions!$C$24,0),IF(3=MAX(1,ROUNDUP(Assumptions!$C$9/30,0)),E13*Assumptions!$C$24,0),IF(2=MAX(1,ROUNDUP(Assumptions!$C$9/30,0)),F13*Assumptions!$C$24,0),IF(1=MAX(1,ROUNDUP(Assumptions!$C$9/30,0)),G13*Assumptions!$C$24,0),IF(0=MAX(1,ROUNDUP(Assumptions!$C$9/30,0)),H13*Assumptions!$C$24,0))</f>
        <v>3.6465187499999998</v>
      </c>
      <c r="I18" s="14">
        <f>SUM(IF(6=MAX(1,ROUNDUP(Assumptions!$C$9/30,0)),C13*Assumptions!$C$24,0),IF(5=MAX(1,ROUNDUP(Assumptions!$C$9/30,0)),D13*Assumptions!$C$24,0),IF(4=MAX(1,ROUNDUP(Assumptions!$C$9/30,0)),E13*Assumptions!$C$24,0),IF(3=MAX(1,ROUNDUP(Assumptions!$C$9/30,0)),F13*Assumptions!$C$24,0),IF(2=MAX(1,ROUNDUP(Assumptions!$C$9/30,0)),G13*Assumptions!$C$24,0),IF(1=MAX(1,ROUNDUP(Assumptions!$C$9/30,0)),H13*Assumptions!$C$24,0),IF(0=MAX(1,ROUNDUP(Assumptions!$C$9/30,0)),I13*Assumptions!$C$24,0))</f>
        <v>3.8288446875000002</v>
      </c>
      <c r="J18" s="14">
        <f>SUM(IF(7=MAX(1,ROUNDUP(Assumptions!$C$9/30,0)),C13*Assumptions!$C$24,0),IF(6=MAX(1,ROUNDUP(Assumptions!$C$9/30,0)),D13*Assumptions!$C$24,0),IF(5=MAX(1,ROUNDUP(Assumptions!$C$9/30,0)),E13*Assumptions!$C$24,0),IF(4=MAX(1,ROUNDUP(Assumptions!$C$9/30,0)),F13*Assumptions!$C$24,0),IF(3=MAX(1,ROUNDUP(Assumptions!$C$9/30,0)),G13*Assumptions!$C$24,0),IF(2=MAX(1,ROUNDUP(Assumptions!$C$9/30,0)),H13*Assumptions!$C$24,0),IF(1=MAX(1,ROUNDUP(Assumptions!$C$9/30,0)),I13*Assumptions!$C$24,0),IF(0=MAX(1,ROUNDUP(Assumptions!$C$9/30,0)),J13*Assumptions!$C$24,0))</f>
        <v>4.0202869218749999</v>
      </c>
      <c r="K18" s="14">
        <f>SUM(IF(8=MAX(1,ROUNDUP(Assumptions!$C$9/30,0)),C13*Assumptions!$C$24,0),IF(7=MAX(1,ROUNDUP(Assumptions!$C$9/30,0)),D13*Assumptions!$C$24,0),IF(6=MAX(1,ROUNDUP(Assumptions!$C$9/30,0)),E13*Assumptions!$C$24,0),IF(5=MAX(1,ROUNDUP(Assumptions!$C$9/30,0)),F13*Assumptions!$C$24,0),IF(4=MAX(1,ROUNDUP(Assumptions!$C$9/30,0)),G13*Assumptions!$C$24,0),IF(3=MAX(1,ROUNDUP(Assumptions!$C$9/30,0)),H13*Assumptions!$C$24,0),IF(2=MAX(1,ROUNDUP(Assumptions!$C$9/30,0)),I13*Assumptions!$C$24,0),IF(1=MAX(1,ROUNDUP(Assumptions!$C$9/30,0)),J13*Assumptions!$C$24,0),IF(0=MAX(1,ROUNDUP(Assumptions!$C$9/30,0)),K13*Assumptions!$C$24,0))</f>
        <v>4.2213012679687507</v>
      </c>
      <c r="L18" s="14">
        <f>SUM(IF(9=MAX(1,ROUNDUP(Assumptions!$C$9/30,0)),C13*Assumptions!$C$24,0),IF(8=MAX(1,ROUNDUP(Assumptions!$C$9/30,0)),D13*Assumptions!$C$24,0),IF(7=MAX(1,ROUNDUP(Assumptions!$C$9/30,0)),E13*Assumptions!$C$24,0),IF(6=MAX(1,ROUNDUP(Assumptions!$C$9/30,0)),F13*Assumptions!$C$24,0),IF(5=MAX(1,ROUNDUP(Assumptions!$C$9/30,0)),G13*Assumptions!$C$24,0),IF(4=MAX(1,ROUNDUP(Assumptions!$C$9/30,0)),H13*Assumptions!$C$24,0),IF(3=MAX(1,ROUNDUP(Assumptions!$C$9/30,0)),I13*Assumptions!$C$24,0),IF(2=MAX(1,ROUNDUP(Assumptions!$C$9/30,0)),J13*Assumptions!$C$24,0),IF(1=MAX(1,ROUNDUP(Assumptions!$C$9/30,0)),K13*Assumptions!$C$24,0),IF(0=MAX(1,ROUNDUP(Assumptions!$C$9/30,0)),L13*Assumptions!$C$24,0))</f>
        <v>4.4323663313671871</v>
      </c>
      <c r="M18" s="14">
        <f>SUM(IF(10=MAX(1,ROUNDUP(Assumptions!$C$9/30,0)),C13*Assumptions!$C$24,0),IF(9=MAX(1,ROUNDUP(Assumptions!$C$9/30,0)),D13*Assumptions!$C$24,0),IF(8=MAX(1,ROUNDUP(Assumptions!$C$9/30,0)),E13*Assumptions!$C$24,0),IF(7=MAX(1,ROUNDUP(Assumptions!$C$9/30,0)),F13*Assumptions!$C$24,0),IF(6=MAX(1,ROUNDUP(Assumptions!$C$9/30,0)),G13*Assumptions!$C$24,0),IF(5=MAX(1,ROUNDUP(Assumptions!$C$9/30,0)),H13*Assumptions!$C$24,0),IF(4=MAX(1,ROUNDUP(Assumptions!$C$9/30,0)),I13*Assumptions!$C$24,0),IF(3=MAX(1,ROUNDUP(Assumptions!$C$9/30,0)),J13*Assumptions!$C$24,0),IF(2=MAX(1,ROUNDUP(Assumptions!$C$9/30,0)),K13*Assumptions!$C$24,0),IF(1=MAX(1,ROUNDUP(Assumptions!$C$9/30,0)),L13*Assumptions!$C$24,0),IF(0=MAX(1,ROUNDUP(Assumptions!$C$9/30,0)),M13*Assumptions!$C$24,0))</f>
        <v>4.6539846479355473</v>
      </c>
      <c r="N18" s="14">
        <f>SUM(IF(11=MAX(1,ROUNDUP(Assumptions!$C$9/30,0)),C13*Assumptions!$C$24,0),IF(10=MAX(1,ROUNDUP(Assumptions!$C$9/30,0)),D13*Assumptions!$C$24,0),IF(9=MAX(1,ROUNDUP(Assumptions!$C$9/30,0)),E13*Assumptions!$C$24,0),IF(8=MAX(1,ROUNDUP(Assumptions!$C$9/30,0)),F13*Assumptions!$C$24,0),IF(7=MAX(1,ROUNDUP(Assumptions!$C$9/30,0)),G13*Assumptions!$C$24,0),IF(6=MAX(1,ROUNDUP(Assumptions!$C$9/30,0)),H13*Assumptions!$C$24,0),IF(5=MAX(1,ROUNDUP(Assumptions!$C$9/30,0)),I13*Assumptions!$C$24,0),IF(4=MAX(1,ROUNDUP(Assumptions!$C$9/30,0)),J13*Assumptions!$C$24,0),IF(3=MAX(1,ROUNDUP(Assumptions!$C$9/30,0)),K13*Assumptions!$C$24,0),IF(2=MAX(1,ROUNDUP(Assumptions!$C$9/30,0)),L13*Assumptions!$C$24,0),IF(1=MAX(1,ROUNDUP(Assumptions!$C$9/30,0)),M13*Assumptions!$C$24,0),IF(0=MAX(1,ROUNDUP(Assumptions!$C$9/30,0)),N13*Assumptions!$C$24,0))</f>
        <v>4.8866838803323249</v>
      </c>
      <c r="O18" s="14">
        <f>SUM(IF(12=MAX(1,ROUNDUP(Assumptions!$C$9/30,0)),C13*Assumptions!$C$24,0),IF(11=MAX(1,ROUNDUP(Assumptions!$C$9/30,0)),D13*Assumptions!$C$24,0),IF(10=MAX(1,ROUNDUP(Assumptions!$C$9/30,0)),E13*Assumptions!$C$24,0),IF(9=MAX(1,ROUNDUP(Assumptions!$C$9/30,0)),F13*Assumptions!$C$24,0),IF(8=MAX(1,ROUNDUP(Assumptions!$C$9/30,0)),G13*Assumptions!$C$24,0),IF(7=MAX(1,ROUNDUP(Assumptions!$C$9/30,0)),H13*Assumptions!$C$24,0),IF(6=MAX(1,ROUNDUP(Assumptions!$C$9/30,0)),I13*Assumptions!$C$24,0),IF(5=MAX(1,ROUNDUP(Assumptions!$C$9/30,0)),J13*Assumptions!$C$24,0),IF(4=MAX(1,ROUNDUP(Assumptions!$C$9/30,0)),K13*Assumptions!$C$24,0),IF(3=MAX(1,ROUNDUP(Assumptions!$C$9/30,0)),L13*Assumptions!$C$24,0),IF(2=MAX(1,ROUNDUP(Assumptions!$C$9/30,0)),M13*Assumptions!$C$24,0),IF(1=MAX(1,ROUNDUP(Assumptions!$C$9/30,0)),N13*Assumptions!$C$24,0),IF(0=MAX(1,ROUNDUP(Assumptions!$C$9/30,0)),O13*Assumptions!$C$24,0))</f>
        <v>5.1310180743489413</v>
      </c>
      <c r="P18" s="14">
        <f>SUM(IF(13=MAX(1,ROUNDUP(Assumptions!$C$9/30,0)),C13*Assumptions!$C$24,0),IF(12=MAX(1,ROUNDUP(Assumptions!$C$9/30,0)),D13*Assumptions!$C$24,0),IF(11=MAX(1,ROUNDUP(Assumptions!$C$9/30,0)),E13*Assumptions!$C$24,0),IF(10=MAX(1,ROUNDUP(Assumptions!$C$9/30,0)),F13*Assumptions!$C$24,0),IF(9=MAX(1,ROUNDUP(Assumptions!$C$9/30,0)),G13*Assumptions!$C$24,0),IF(8=MAX(1,ROUNDUP(Assumptions!$C$9/30,0)),H13*Assumptions!$C$24,0),IF(7=MAX(1,ROUNDUP(Assumptions!$C$9/30,0)),I13*Assumptions!$C$24,0),IF(6=MAX(1,ROUNDUP(Assumptions!$C$9/30,0)),J13*Assumptions!$C$24,0),IF(5=MAX(1,ROUNDUP(Assumptions!$C$9/30,0)),K13*Assumptions!$C$24,0),IF(4=MAX(1,ROUNDUP(Assumptions!$C$9/30,0)),L13*Assumptions!$C$24,0),IF(3=MAX(1,ROUNDUP(Assumptions!$C$9/30,0)),M13*Assumptions!$C$24,0),IF(2=MAX(1,ROUNDUP(Assumptions!$C$9/30,0)),N13*Assumptions!$C$24,0),IF(1=MAX(1,ROUNDUP(Assumptions!$C$9/30,0)),O13*Assumptions!$C$24,0),IF(0=MAX(1,ROUNDUP(Assumptions!$C$9/30,0)),P13*Assumptions!$C$24,0))</f>
        <v>5.3875689780663878</v>
      </c>
      <c r="Q18" s="14">
        <f>SUM(IF(14=MAX(1,ROUNDUP(Assumptions!$C$9/30,0)),C13*Assumptions!$C$24,0),IF(13=MAX(1,ROUNDUP(Assumptions!$C$9/30,0)),D13*Assumptions!$C$24,0),IF(12=MAX(1,ROUNDUP(Assumptions!$C$9/30,0)),E13*Assumptions!$C$24,0),IF(11=MAX(1,ROUNDUP(Assumptions!$C$9/30,0)),F13*Assumptions!$C$24,0),IF(10=MAX(1,ROUNDUP(Assumptions!$C$9/30,0)),G13*Assumptions!$C$24,0),IF(9=MAX(1,ROUNDUP(Assumptions!$C$9/30,0)),H13*Assumptions!$C$24,0),IF(8=MAX(1,ROUNDUP(Assumptions!$C$9/30,0)),I13*Assumptions!$C$24,0),IF(7=MAX(1,ROUNDUP(Assumptions!$C$9/30,0)),J13*Assumptions!$C$24,0),IF(6=MAX(1,ROUNDUP(Assumptions!$C$9/30,0)),K13*Assumptions!$C$24,0),IF(5=MAX(1,ROUNDUP(Assumptions!$C$9/30,0)),L13*Assumptions!$C$24,0),IF(4=MAX(1,ROUNDUP(Assumptions!$C$9/30,0)),M13*Assumptions!$C$24,0),IF(3=MAX(1,ROUNDUP(Assumptions!$C$9/30,0)),N13*Assumptions!$C$24,0),IF(2=MAX(1,ROUNDUP(Assumptions!$C$9/30,0)),O13*Assumptions!$C$24,0),IF(1=MAX(1,ROUNDUP(Assumptions!$C$9/30,0)),P13*Assumptions!$C$24,0),IF(0=MAX(1,ROUNDUP(Assumptions!$C$9/30,0)),Q13*Assumptions!$C$24,0))</f>
        <v>5.6569474269697073</v>
      </c>
      <c r="R18" s="14">
        <f>SUM(IF(15=MAX(1,ROUNDUP(Assumptions!$C$9/30,0)),C13*Assumptions!$C$24,0),IF(14=MAX(1,ROUNDUP(Assumptions!$C$9/30,0)),D13*Assumptions!$C$24,0),IF(13=MAX(1,ROUNDUP(Assumptions!$C$9/30,0)),E13*Assumptions!$C$24,0),IF(12=MAX(1,ROUNDUP(Assumptions!$C$9/30,0)),F13*Assumptions!$C$24,0),IF(11=MAX(1,ROUNDUP(Assumptions!$C$9/30,0)),G13*Assumptions!$C$24,0),IF(10=MAX(1,ROUNDUP(Assumptions!$C$9/30,0)),H13*Assumptions!$C$24,0),IF(9=MAX(1,ROUNDUP(Assumptions!$C$9/30,0)),I13*Assumptions!$C$24,0),IF(8=MAX(1,ROUNDUP(Assumptions!$C$9/30,0)),J13*Assumptions!$C$24,0),IF(7=MAX(1,ROUNDUP(Assumptions!$C$9/30,0)),K13*Assumptions!$C$24,0),IF(6=MAX(1,ROUNDUP(Assumptions!$C$9/30,0)),L13*Assumptions!$C$24,0),IF(5=MAX(1,ROUNDUP(Assumptions!$C$9/30,0)),M13*Assumptions!$C$24,0),IF(4=MAX(1,ROUNDUP(Assumptions!$C$9/30,0)),N13*Assumptions!$C$24,0),IF(3=MAX(1,ROUNDUP(Assumptions!$C$9/30,0)),O13*Assumptions!$C$24,0),IF(2=MAX(1,ROUNDUP(Assumptions!$C$9/30,0)),P13*Assumptions!$C$24,0),IF(1=MAX(1,ROUNDUP(Assumptions!$C$9/30,0)),Q13*Assumptions!$C$24,0),IF(0=MAX(1,ROUNDUP(Assumptions!$C$9/30,0)),R13*Assumptions!$C$24,0))</f>
        <v>5.9397947983181911</v>
      </c>
      <c r="S18" s="14">
        <f>SUM(IF(16=MAX(1,ROUNDUP(Assumptions!$C$9/30,0)),C13*Assumptions!$C$24,0),IF(15=MAX(1,ROUNDUP(Assumptions!$C$9/30,0)),D13*Assumptions!$C$24,0),IF(14=MAX(1,ROUNDUP(Assumptions!$C$9/30,0)),E13*Assumptions!$C$24,0),IF(13=MAX(1,ROUNDUP(Assumptions!$C$9/30,0)),F13*Assumptions!$C$24,0),IF(12=MAX(1,ROUNDUP(Assumptions!$C$9/30,0)),G13*Assumptions!$C$24,0),IF(11=MAX(1,ROUNDUP(Assumptions!$C$9/30,0)),H13*Assumptions!$C$24,0),IF(10=MAX(1,ROUNDUP(Assumptions!$C$9/30,0)),I13*Assumptions!$C$24,0),IF(9=MAX(1,ROUNDUP(Assumptions!$C$9/30,0)),J13*Assumptions!$C$24,0),IF(8=MAX(1,ROUNDUP(Assumptions!$C$9/30,0)),K13*Assumptions!$C$24,0),IF(7=MAX(1,ROUNDUP(Assumptions!$C$9/30,0)),L13*Assumptions!$C$24,0),IF(6=MAX(1,ROUNDUP(Assumptions!$C$9/30,0)),M13*Assumptions!$C$24,0),IF(5=MAX(1,ROUNDUP(Assumptions!$C$9/30,0)),N13*Assumptions!$C$24,0),IF(4=MAX(1,ROUNDUP(Assumptions!$C$9/30,0)),O13*Assumptions!$C$24,0),IF(3=MAX(1,ROUNDUP(Assumptions!$C$9/30,0)),P13*Assumptions!$C$24,0),IF(2=MAX(1,ROUNDUP(Assumptions!$C$9/30,0)),Q13*Assumptions!$C$24,0),IF(1=MAX(1,ROUNDUP(Assumptions!$C$9/30,0)),R13*Assumptions!$C$24,0),IF(0=MAX(1,ROUNDUP(Assumptions!$C$9/30,0)),S13*Assumptions!$C$24,0))</f>
        <v>6.2367845382341027</v>
      </c>
      <c r="T18" s="14">
        <f>SUM(IF(17=MAX(1,ROUNDUP(Assumptions!$C$9/30,0)),C13*Assumptions!$C$24,0),IF(16=MAX(1,ROUNDUP(Assumptions!$C$9/30,0)),D13*Assumptions!$C$24,0),IF(15=MAX(1,ROUNDUP(Assumptions!$C$9/30,0)),E13*Assumptions!$C$24,0),IF(14=MAX(1,ROUNDUP(Assumptions!$C$9/30,0)),F13*Assumptions!$C$24,0),IF(13=MAX(1,ROUNDUP(Assumptions!$C$9/30,0)),G13*Assumptions!$C$24,0),IF(12=MAX(1,ROUNDUP(Assumptions!$C$9/30,0)),H13*Assumptions!$C$24,0),IF(11=MAX(1,ROUNDUP(Assumptions!$C$9/30,0)),I13*Assumptions!$C$24,0),IF(10=MAX(1,ROUNDUP(Assumptions!$C$9/30,0)),J13*Assumptions!$C$24,0),IF(9=MAX(1,ROUNDUP(Assumptions!$C$9/30,0)),K13*Assumptions!$C$24,0),IF(8=MAX(1,ROUNDUP(Assumptions!$C$9/30,0)),L13*Assumptions!$C$24,0),IF(7=MAX(1,ROUNDUP(Assumptions!$C$9/30,0)),M13*Assumptions!$C$24,0),IF(6=MAX(1,ROUNDUP(Assumptions!$C$9/30,0)),N13*Assumptions!$C$24,0),IF(5=MAX(1,ROUNDUP(Assumptions!$C$9/30,0)),O13*Assumptions!$C$24,0),IF(4=MAX(1,ROUNDUP(Assumptions!$C$9/30,0)),P13*Assumptions!$C$24,0),IF(3=MAX(1,ROUNDUP(Assumptions!$C$9/30,0)),Q13*Assumptions!$C$24,0),IF(2=MAX(1,ROUNDUP(Assumptions!$C$9/30,0)),R13*Assumptions!$C$24,0),IF(1=MAX(1,ROUNDUP(Assumptions!$C$9/30,0)),S13*Assumptions!$C$24,0),IF(0=MAX(1,ROUNDUP(Assumptions!$C$9/30,0)),T13*Assumptions!$C$24,0))</f>
        <v>6.5486237651458072</v>
      </c>
      <c r="U18" s="14">
        <f>SUM(IF(18=MAX(1,ROUNDUP(Assumptions!$C$9/30,0)),C13*Assumptions!$C$24,0),IF(17=MAX(1,ROUNDUP(Assumptions!$C$9/30,0)),D13*Assumptions!$C$24,0),IF(16=MAX(1,ROUNDUP(Assumptions!$C$9/30,0)),E13*Assumptions!$C$24,0),IF(15=MAX(1,ROUNDUP(Assumptions!$C$9/30,0)),F13*Assumptions!$C$24,0),IF(14=MAX(1,ROUNDUP(Assumptions!$C$9/30,0)),G13*Assumptions!$C$24,0),IF(13=MAX(1,ROUNDUP(Assumptions!$C$9/30,0)),H13*Assumptions!$C$24,0),IF(12=MAX(1,ROUNDUP(Assumptions!$C$9/30,0)),I13*Assumptions!$C$24,0),IF(11=MAX(1,ROUNDUP(Assumptions!$C$9/30,0)),J13*Assumptions!$C$24,0),IF(10=MAX(1,ROUNDUP(Assumptions!$C$9/30,0)),K13*Assumptions!$C$24,0),IF(9=MAX(1,ROUNDUP(Assumptions!$C$9/30,0)),L13*Assumptions!$C$24,0),IF(8=MAX(1,ROUNDUP(Assumptions!$C$9/30,0)),M13*Assumptions!$C$24,0),IF(7=MAX(1,ROUNDUP(Assumptions!$C$9/30,0)),N13*Assumptions!$C$24,0),IF(6=MAX(1,ROUNDUP(Assumptions!$C$9/30,0)),O13*Assumptions!$C$24,0),IF(5=MAX(1,ROUNDUP(Assumptions!$C$9/30,0)),P13*Assumptions!$C$24,0),IF(4=MAX(1,ROUNDUP(Assumptions!$C$9/30,0)),Q13*Assumptions!$C$24,0),IF(3=MAX(1,ROUNDUP(Assumptions!$C$9/30,0)),R13*Assumptions!$C$24,0),IF(2=MAX(1,ROUNDUP(Assumptions!$C$9/30,0)),S13*Assumptions!$C$24,0),IF(1=MAX(1,ROUNDUP(Assumptions!$C$9/30,0)),T13*Assumptions!$C$24,0),IF(0=MAX(1,ROUNDUP(Assumptions!$C$9/30,0)),U13*Assumptions!$C$24,0))</f>
        <v>6.8760549534030995</v>
      </c>
      <c r="V18" s="14">
        <f>SUM(IF(19=MAX(1,ROUNDUP(Assumptions!$C$9/30,0)),C13*Assumptions!$C$24,0),IF(18=MAX(1,ROUNDUP(Assumptions!$C$9/30,0)),D13*Assumptions!$C$24,0),IF(17=MAX(1,ROUNDUP(Assumptions!$C$9/30,0)),E13*Assumptions!$C$24,0),IF(16=MAX(1,ROUNDUP(Assumptions!$C$9/30,0)),F13*Assumptions!$C$24,0),IF(15=MAX(1,ROUNDUP(Assumptions!$C$9/30,0)),G13*Assumptions!$C$24,0),IF(14=MAX(1,ROUNDUP(Assumptions!$C$9/30,0)),H13*Assumptions!$C$24,0),IF(13=MAX(1,ROUNDUP(Assumptions!$C$9/30,0)),I13*Assumptions!$C$24,0),IF(12=MAX(1,ROUNDUP(Assumptions!$C$9/30,0)),J13*Assumptions!$C$24,0),IF(11=MAX(1,ROUNDUP(Assumptions!$C$9/30,0)),K13*Assumptions!$C$24,0),IF(10=MAX(1,ROUNDUP(Assumptions!$C$9/30,0)),L13*Assumptions!$C$24,0),IF(9=MAX(1,ROUNDUP(Assumptions!$C$9/30,0)),M13*Assumptions!$C$24,0),IF(8=MAX(1,ROUNDUP(Assumptions!$C$9/30,0)),N13*Assumptions!$C$24,0),IF(7=MAX(1,ROUNDUP(Assumptions!$C$9/30,0)),O13*Assumptions!$C$24,0),IF(6=MAX(1,ROUNDUP(Assumptions!$C$9/30,0)),P13*Assumptions!$C$24,0),IF(5=MAX(1,ROUNDUP(Assumptions!$C$9/30,0)),Q13*Assumptions!$C$24,0),IF(4=MAX(1,ROUNDUP(Assumptions!$C$9/30,0)),R13*Assumptions!$C$24,0),IF(3=MAX(1,ROUNDUP(Assumptions!$C$9/30,0)),S13*Assumptions!$C$24,0),IF(2=MAX(1,ROUNDUP(Assumptions!$C$9/30,0)),T13*Assumptions!$C$24,0),IF(1=MAX(1,ROUNDUP(Assumptions!$C$9/30,0)),U13*Assumptions!$C$24,0),IF(0=MAX(1,ROUNDUP(Assumptions!$C$9/30,0)),V13*Assumptions!$C$24,0))</f>
        <v>7.2198577010732539</v>
      </c>
      <c r="W18" s="14">
        <f>SUM(IF(20=MAX(1,ROUNDUP(Assumptions!$C$9/30,0)),C13*Assumptions!$C$24,0),IF(19=MAX(1,ROUNDUP(Assumptions!$C$9/30,0)),D13*Assumptions!$C$24,0),IF(18=MAX(1,ROUNDUP(Assumptions!$C$9/30,0)),E13*Assumptions!$C$24,0),IF(17=MAX(1,ROUNDUP(Assumptions!$C$9/30,0)),F13*Assumptions!$C$24,0),IF(16=MAX(1,ROUNDUP(Assumptions!$C$9/30,0)),G13*Assumptions!$C$24,0),IF(15=MAX(1,ROUNDUP(Assumptions!$C$9/30,0)),H13*Assumptions!$C$24,0),IF(14=MAX(1,ROUNDUP(Assumptions!$C$9/30,0)),I13*Assumptions!$C$24,0),IF(13=MAX(1,ROUNDUP(Assumptions!$C$9/30,0)),J13*Assumptions!$C$24,0),IF(12=MAX(1,ROUNDUP(Assumptions!$C$9/30,0)),K13*Assumptions!$C$24,0),IF(11=MAX(1,ROUNDUP(Assumptions!$C$9/30,0)),L13*Assumptions!$C$24,0),IF(10=MAX(1,ROUNDUP(Assumptions!$C$9/30,0)),M13*Assumptions!$C$24,0),IF(9=MAX(1,ROUNDUP(Assumptions!$C$9/30,0)),N13*Assumptions!$C$24,0),IF(8=MAX(1,ROUNDUP(Assumptions!$C$9/30,0)),O13*Assumptions!$C$24,0),IF(7=MAX(1,ROUNDUP(Assumptions!$C$9/30,0)),P13*Assumptions!$C$24,0),IF(6=MAX(1,ROUNDUP(Assumptions!$C$9/30,0)),Q13*Assumptions!$C$24,0),IF(5=MAX(1,ROUNDUP(Assumptions!$C$9/30,0)),R13*Assumptions!$C$24,0),IF(4=MAX(1,ROUNDUP(Assumptions!$C$9/30,0)),S13*Assumptions!$C$24,0),IF(3=MAX(1,ROUNDUP(Assumptions!$C$9/30,0)),T13*Assumptions!$C$24,0),IF(2=MAX(1,ROUNDUP(Assumptions!$C$9/30,0)),U13*Assumptions!$C$24,0),IF(1=MAX(1,ROUNDUP(Assumptions!$C$9/30,0)),V13*Assumptions!$C$24,0),IF(0=MAX(1,ROUNDUP(Assumptions!$C$9/30,0)),W13*Assumptions!$C$24,0))</f>
        <v>7.5808505861269166</v>
      </c>
      <c r="X18" s="14">
        <f>SUM(IF(21=MAX(1,ROUNDUP(Assumptions!$C$9/30,0)),C13*Assumptions!$C$24,0),IF(20=MAX(1,ROUNDUP(Assumptions!$C$9/30,0)),D13*Assumptions!$C$24,0),IF(19=MAX(1,ROUNDUP(Assumptions!$C$9/30,0)),E13*Assumptions!$C$24,0),IF(18=MAX(1,ROUNDUP(Assumptions!$C$9/30,0)),F13*Assumptions!$C$24,0),IF(17=MAX(1,ROUNDUP(Assumptions!$C$9/30,0)),G13*Assumptions!$C$24,0),IF(16=MAX(1,ROUNDUP(Assumptions!$C$9/30,0)),H13*Assumptions!$C$24,0),IF(15=MAX(1,ROUNDUP(Assumptions!$C$9/30,0)),I13*Assumptions!$C$24,0),IF(14=MAX(1,ROUNDUP(Assumptions!$C$9/30,0)),J13*Assumptions!$C$24,0),IF(13=MAX(1,ROUNDUP(Assumptions!$C$9/30,0)),K13*Assumptions!$C$24,0),IF(12=MAX(1,ROUNDUP(Assumptions!$C$9/30,0)),L13*Assumptions!$C$24,0),IF(11=MAX(1,ROUNDUP(Assumptions!$C$9/30,0)),M13*Assumptions!$C$24,0),IF(10=MAX(1,ROUNDUP(Assumptions!$C$9/30,0)),N13*Assumptions!$C$24,0),IF(9=MAX(1,ROUNDUP(Assumptions!$C$9/30,0)),O13*Assumptions!$C$24,0),IF(8=MAX(1,ROUNDUP(Assumptions!$C$9/30,0)),P13*Assumptions!$C$24,0),IF(7=MAX(1,ROUNDUP(Assumptions!$C$9/30,0)),Q13*Assumptions!$C$24,0),IF(6=MAX(1,ROUNDUP(Assumptions!$C$9/30,0)),R13*Assumptions!$C$24,0),IF(5=MAX(1,ROUNDUP(Assumptions!$C$9/30,0)),S13*Assumptions!$C$24,0),IF(4=MAX(1,ROUNDUP(Assumptions!$C$9/30,0)),T13*Assumptions!$C$24,0),IF(3=MAX(1,ROUNDUP(Assumptions!$C$9/30,0)),U13*Assumptions!$C$24,0),IF(2=MAX(1,ROUNDUP(Assumptions!$C$9/30,0)),V13*Assumptions!$C$24,0),IF(1=MAX(1,ROUNDUP(Assumptions!$C$9/30,0)),W13*Assumptions!$C$24,0),IF(0=MAX(1,ROUNDUP(Assumptions!$C$9/30,0)),X13*Assumptions!$C$24,0))</f>
        <v>7.9598931154332622</v>
      </c>
      <c r="Y18" s="14">
        <f>SUM(IF(22=MAX(1,ROUNDUP(Assumptions!$C$9/30,0)),C13*Assumptions!$C$24,0),IF(21=MAX(1,ROUNDUP(Assumptions!$C$9/30,0)),D13*Assumptions!$C$24,0),IF(20=MAX(1,ROUNDUP(Assumptions!$C$9/30,0)),E13*Assumptions!$C$24,0),IF(19=MAX(1,ROUNDUP(Assumptions!$C$9/30,0)),F13*Assumptions!$C$24,0),IF(18=MAX(1,ROUNDUP(Assumptions!$C$9/30,0)),G13*Assumptions!$C$24,0),IF(17=MAX(1,ROUNDUP(Assumptions!$C$9/30,0)),H13*Assumptions!$C$24,0),IF(16=MAX(1,ROUNDUP(Assumptions!$C$9/30,0)),I13*Assumptions!$C$24,0),IF(15=MAX(1,ROUNDUP(Assumptions!$C$9/30,0)),J13*Assumptions!$C$24,0),IF(14=MAX(1,ROUNDUP(Assumptions!$C$9/30,0)),K13*Assumptions!$C$24,0),IF(13=MAX(1,ROUNDUP(Assumptions!$C$9/30,0)),L13*Assumptions!$C$24,0),IF(12=MAX(1,ROUNDUP(Assumptions!$C$9/30,0)),M13*Assumptions!$C$24,0),IF(11=MAX(1,ROUNDUP(Assumptions!$C$9/30,0)),N13*Assumptions!$C$24,0),IF(10=MAX(1,ROUNDUP(Assumptions!$C$9/30,0)),O13*Assumptions!$C$24,0),IF(9=MAX(1,ROUNDUP(Assumptions!$C$9/30,0)),P13*Assumptions!$C$24,0),IF(8=MAX(1,ROUNDUP(Assumptions!$C$9/30,0)),Q13*Assumptions!$C$24,0),IF(7=MAX(1,ROUNDUP(Assumptions!$C$9/30,0)),R13*Assumptions!$C$24,0),IF(6=MAX(1,ROUNDUP(Assumptions!$C$9/30,0)),S13*Assumptions!$C$24,0),IF(5=MAX(1,ROUNDUP(Assumptions!$C$9/30,0)),T13*Assumptions!$C$24,0),IF(4=MAX(1,ROUNDUP(Assumptions!$C$9/30,0)),U13*Assumptions!$C$24,0),IF(3=MAX(1,ROUNDUP(Assumptions!$C$9/30,0)),V13*Assumptions!$C$24,0),IF(2=MAX(1,ROUNDUP(Assumptions!$C$9/30,0)),W13*Assumptions!$C$24,0),IF(1=MAX(1,ROUNDUP(Assumptions!$C$9/30,0)),X13*Assumptions!$C$24,0),IF(0=MAX(1,ROUNDUP(Assumptions!$C$9/30,0)),Y13*Assumptions!$C$24,0))</f>
        <v>8.3578877712049255</v>
      </c>
      <c r="Z18" s="14">
        <f>SUM(IF(23=MAX(1,ROUNDUP(Assumptions!$C$9/30,0)),C13*Assumptions!$C$24,0),IF(22=MAX(1,ROUNDUP(Assumptions!$C$9/30,0)),D13*Assumptions!$C$24,0),IF(21=MAX(1,ROUNDUP(Assumptions!$C$9/30,0)),E13*Assumptions!$C$24,0),IF(20=MAX(1,ROUNDUP(Assumptions!$C$9/30,0)),F13*Assumptions!$C$24,0),IF(19=MAX(1,ROUNDUP(Assumptions!$C$9/30,0)),G13*Assumptions!$C$24,0),IF(18=MAX(1,ROUNDUP(Assumptions!$C$9/30,0)),H13*Assumptions!$C$24,0),IF(17=MAX(1,ROUNDUP(Assumptions!$C$9/30,0)),I13*Assumptions!$C$24,0),IF(16=MAX(1,ROUNDUP(Assumptions!$C$9/30,0)),J13*Assumptions!$C$24,0),IF(15=MAX(1,ROUNDUP(Assumptions!$C$9/30,0)),K13*Assumptions!$C$24,0),IF(14=MAX(1,ROUNDUP(Assumptions!$C$9/30,0)),L13*Assumptions!$C$24,0),IF(13=MAX(1,ROUNDUP(Assumptions!$C$9/30,0)),M13*Assumptions!$C$24,0),IF(12=MAX(1,ROUNDUP(Assumptions!$C$9/30,0)),N13*Assumptions!$C$24,0),IF(11=MAX(1,ROUNDUP(Assumptions!$C$9/30,0)),O13*Assumptions!$C$24,0),IF(10=MAX(1,ROUNDUP(Assumptions!$C$9/30,0)),P13*Assumptions!$C$24,0),IF(9=MAX(1,ROUNDUP(Assumptions!$C$9/30,0)),Q13*Assumptions!$C$24,0),IF(8=MAX(1,ROUNDUP(Assumptions!$C$9/30,0)),R13*Assumptions!$C$24,0),IF(7=MAX(1,ROUNDUP(Assumptions!$C$9/30,0)),S13*Assumptions!$C$24,0),IF(6=MAX(1,ROUNDUP(Assumptions!$C$9/30,0)),T13*Assumptions!$C$24,0),IF(5=MAX(1,ROUNDUP(Assumptions!$C$9/30,0)),U13*Assumptions!$C$24,0),IF(4=MAX(1,ROUNDUP(Assumptions!$C$9/30,0)),V13*Assumptions!$C$24,0),IF(3=MAX(1,ROUNDUP(Assumptions!$C$9/30,0)),W13*Assumptions!$C$24,0),IF(2=MAX(1,ROUNDUP(Assumptions!$C$9/30,0)),X13*Assumptions!$C$24,0),IF(1=MAX(1,ROUNDUP(Assumptions!$C$9/30,0)),Y13*Assumptions!$C$24,0),IF(0=MAX(1,ROUNDUP(Assumptions!$C$9/30,0)),Z13*Assumptions!$C$24,0))</f>
        <v>8.7757821597651713</v>
      </c>
    </row>
    <row r="19" spans="1:26" ht="16.5" customHeight="1">
      <c r="A19" s="1" t="s">
        <v>249</v>
      </c>
      <c r="B19" s="1" t="s">
        <v>103</v>
      </c>
      <c r="C19" s="14">
        <f>SUM(IF(0=MAX(1,ROUNDUP(Assumptions!$C$9/30,0)),C12*Assumptions!$C$25,0))</f>
        <v>0</v>
      </c>
      <c r="D19" s="14">
        <f>SUM(IF(1=MAX(1,ROUNDUP(Assumptions!$C$9/30,0)),C12*Assumptions!$C$25,0),IF(0=MAX(1,ROUNDUP(Assumptions!$C$9/30,0)),D12*Assumptions!$C$25,0))</f>
        <v>0</v>
      </c>
      <c r="E19" s="14">
        <f>SUM(IF(2=MAX(1,ROUNDUP(Assumptions!$C$9/30,0)),C12*Assumptions!$C$25,0),IF(1=MAX(1,ROUNDUP(Assumptions!$C$9/30,0)),D12*Assumptions!$C$25,0),IF(0=MAX(1,ROUNDUP(Assumptions!$C$9/30,0)),E12*Assumptions!$C$25,0))</f>
        <v>0.22049999999999997</v>
      </c>
      <c r="F19" s="14">
        <f>SUM(IF(3=MAX(1,ROUNDUP(Assumptions!$C$9/30,0)),C12*Assumptions!$C$25,0),IF(2=MAX(1,ROUNDUP(Assumptions!$C$9/30,0)),D12*Assumptions!$C$25,0),IF(1=MAX(1,ROUNDUP(Assumptions!$C$9/30,0)),E12*Assumptions!$C$25,0),IF(0=MAX(1,ROUNDUP(Assumptions!$C$9/30,0)),F12*Assumptions!$C$25,0))</f>
        <v>1.8522E-2</v>
      </c>
      <c r="G19" s="14">
        <f>SUM(IF(4=MAX(1,ROUNDUP(Assumptions!$C$9/30,0)),C12*Assumptions!$C$25,0),IF(3=MAX(1,ROUNDUP(Assumptions!$C$9/30,0)),D12*Assumptions!$C$25,0),IF(2=MAX(1,ROUNDUP(Assumptions!$C$9/30,0)),E12*Assumptions!$C$25,0),IF(1=MAX(1,ROUNDUP(Assumptions!$C$9/30,0)),F12*Assumptions!$C$25,0),IF(0=MAX(1,ROUNDUP(Assumptions!$C$9/30,0)),G12*Assumptions!$C$25,0))</f>
        <v>1.5558480000000001E-3</v>
      </c>
      <c r="H19" s="14">
        <f>SUM(IF(5=MAX(1,ROUNDUP(Assumptions!$C$9/30,0)),C12*Assumptions!$C$25,0),IF(4=MAX(1,ROUNDUP(Assumptions!$C$9/30,0)),D12*Assumptions!$C$25,0),IF(3=MAX(1,ROUNDUP(Assumptions!$C$9/30,0)),E12*Assumptions!$C$25,0),IF(2=MAX(1,ROUNDUP(Assumptions!$C$9/30,0)),F12*Assumptions!$C$25,0),IF(1=MAX(1,ROUNDUP(Assumptions!$C$9/30,0)),G12*Assumptions!$C$25,0),IF(0=MAX(1,ROUNDUP(Assumptions!$C$9/30,0)),H12*Assumptions!$C$25,0))</f>
        <v>1.3069123199999999E-4</v>
      </c>
      <c r="I19" s="14">
        <f>SUM(IF(6=MAX(1,ROUNDUP(Assumptions!$C$9/30,0)),C12*Assumptions!$C$25,0),IF(5=MAX(1,ROUNDUP(Assumptions!$C$9/30,0)),D12*Assumptions!$C$25,0),IF(4=MAX(1,ROUNDUP(Assumptions!$C$9/30,0)),E12*Assumptions!$C$25,0),IF(3=MAX(1,ROUNDUP(Assumptions!$C$9/30,0)),F12*Assumptions!$C$25,0),IF(2=MAX(1,ROUNDUP(Assumptions!$C$9/30,0)),G12*Assumptions!$C$25,0),IF(1=MAX(1,ROUNDUP(Assumptions!$C$9/30,0)),H12*Assumptions!$C$25,0),IF(0=MAX(1,ROUNDUP(Assumptions!$C$9/30,0)),I12*Assumptions!$C$25,0))</f>
        <v>1.0978063487999999E-5</v>
      </c>
      <c r="J19" s="14">
        <f>SUM(IF(7=MAX(1,ROUNDUP(Assumptions!$C$9/30,0)),C12*Assumptions!$C$25,0),IF(6=MAX(1,ROUNDUP(Assumptions!$C$9/30,0)),D12*Assumptions!$C$25,0),IF(5=MAX(1,ROUNDUP(Assumptions!$C$9/30,0)),E12*Assumptions!$C$25,0),IF(4=MAX(1,ROUNDUP(Assumptions!$C$9/30,0)),F12*Assumptions!$C$25,0),IF(3=MAX(1,ROUNDUP(Assumptions!$C$9/30,0)),G12*Assumptions!$C$25,0),IF(2=MAX(1,ROUNDUP(Assumptions!$C$9/30,0)),H12*Assumptions!$C$25,0),IF(1=MAX(1,ROUNDUP(Assumptions!$C$9/30,0)),I12*Assumptions!$C$25,0),IF(0=MAX(1,ROUNDUP(Assumptions!$C$9/30,0)),J12*Assumptions!$C$25,0))</f>
        <v>9.2215733299199983E-7</v>
      </c>
      <c r="K19" s="14">
        <f>SUM(IF(8=MAX(1,ROUNDUP(Assumptions!$C$9/30,0)),C12*Assumptions!$C$25,0),IF(7=MAX(1,ROUNDUP(Assumptions!$C$9/30,0)),D12*Assumptions!$C$25,0),IF(6=MAX(1,ROUNDUP(Assumptions!$C$9/30,0)),E12*Assumptions!$C$25,0),IF(5=MAX(1,ROUNDUP(Assumptions!$C$9/30,0)),F12*Assumptions!$C$25,0),IF(4=MAX(1,ROUNDUP(Assumptions!$C$9/30,0)),G12*Assumptions!$C$25,0),IF(3=MAX(1,ROUNDUP(Assumptions!$C$9/30,0)),H12*Assumptions!$C$25,0),IF(2=MAX(1,ROUNDUP(Assumptions!$C$9/30,0)),I12*Assumptions!$C$25,0),IF(1=MAX(1,ROUNDUP(Assumptions!$C$9/30,0)),J12*Assumptions!$C$25,0),IF(0=MAX(1,ROUNDUP(Assumptions!$C$9/30,0)),K12*Assumptions!$C$25,0))</f>
        <v>7.7461215971327972E-8</v>
      </c>
      <c r="L19" s="14">
        <f>SUM(IF(9=MAX(1,ROUNDUP(Assumptions!$C$9/30,0)),C12*Assumptions!$C$25,0),IF(8=MAX(1,ROUNDUP(Assumptions!$C$9/30,0)),D12*Assumptions!$C$25,0),IF(7=MAX(1,ROUNDUP(Assumptions!$C$9/30,0)),E12*Assumptions!$C$25,0),IF(6=MAX(1,ROUNDUP(Assumptions!$C$9/30,0)),F12*Assumptions!$C$25,0),IF(5=MAX(1,ROUNDUP(Assumptions!$C$9/30,0)),G12*Assumptions!$C$25,0),IF(4=MAX(1,ROUNDUP(Assumptions!$C$9/30,0)),H12*Assumptions!$C$25,0),IF(3=MAX(1,ROUNDUP(Assumptions!$C$9/30,0)),I12*Assumptions!$C$25,0),IF(2=MAX(1,ROUNDUP(Assumptions!$C$9/30,0)),J12*Assumptions!$C$25,0),IF(1=MAX(1,ROUNDUP(Assumptions!$C$9/30,0)),K12*Assumptions!$C$25,0),IF(0=MAX(1,ROUNDUP(Assumptions!$C$9/30,0)),L12*Assumptions!$C$25,0))</f>
        <v>6.5067421415915499E-9</v>
      </c>
      <c r="M19" s="14">
        <f>SUM(IF(10=MAX(1,ROUNDUP(Assumptions!$C$9/30,0)),C12*Assumptions!$C$25,0),IF(9=MAX(1,ROUNDUP(Assumptions!$C$9/30,0)),D12*Assumptions!$C$25,0),IF(8=MAX(1,ROUNDUP(Assumptions!$C$9/30,0)),E12*Assumptions!$C$25,0),IF(7=MAX(1,ROUNDUP(Assumptions!$C$9/30,0)),F12*Assumptions!$C$25,0),IF(6=MAX(1,ROUNDUP(Assumptions!$C$9/30,0)),G12*Assumptions!$C$25,0),IF(5=MAX(1,ROUNDUP(Assumptions!$C$9/30,0)),H12*Assumptions!$C$25,0),IF(4=MAX(1,ROUNDUP(Assumptions!$C$9/30,0)),I12*Assumptions!$C$25,0),IF(3=MAX(1,ROUNDUP(Assumptions!$C$9/30,0)),J12*Assumptions!$C$25,0),IF(2=MAX(1,ROUNDUP(Assumptions!$C$9/30,0)),K12*Assumptions!$C$25,0),IF(1=MAX(1,ROUNDUP(Assumptions!$C$9/30,0)),L12*Assumptions!$C$25,0),IF(0=MAX(1,ROUNDUP(Assumptions!$C$9/30,0)),M12*Assumptions!$C$25,0))</f>
        <v>5.4656633989369017E-10</v>
      </c>
      <c r="N19" s="14">
        <f>SUM(IF(11=MAX(1,ROUNDUP(Assumptions!$C$9/30,0)),C12*Assumptions!$C$25,0),IF(10=MAX(1,ROUNDUP(Assumptions!$C$9/30,0)),D12*Assumptions!$C$25,0),IF(9=MAX(1,ROUNDUP(Assumptions!$C$9/30,0)),E12*Assumptions!$C$25,0),IF(8=MAX(1,ROUNDUP(Assumptions!$C$9/30,0)),F12*Assumptions!$C$25,0),IF(7=MAX(1,ROUNDUP(Assumptions!$C$9/30,0)),G12*Assumptions!$C$25,0),IF(6=MAX(1,ROUNDUP(Assumptions!$C$9/30,0)),H12*Assumptions!$C$25,0),IF(5=MAX(1,ROUNDUP(Assumptions!$C$9/30,0)),I12*Assumptions!$C$25,0),IF(4=MAX(1,ROUNDUP(Assumptions!$C$9/30,0)),J12*Assumptions!$C$25,0),IF(3=MAX(1,ROUNDUP(Assumptions!$C$9/30,0)),K12*Assumptions!$C$25,0),IF(2=MAX(1,ROUNDUP(Assumptions!$C$9/30,0)),L12*Assumptions!$C$25,0),IF(1=MAX(1,ROUNDUP(Assumptions!$C$9/30,0)),M12*Assumptions!$C$25,0),IF(0=MAX(1,ROUNDUP(Assumptions!$C$9/30,0)),N12*Assumptions!$C$25,0))</f>
        <v>4.5911572551069975E-11</v>
      </c>
      <c r="O19" s="14">
        <f>SUM(IF(12=MAX(1,ROUNDUP(Assumptions!$C$9/30,0)),C12*Assumptions!$C$25,0),IF(11=MAX(1,ROUNDUP(Assumptions!$C$9/30,0)),D12*Assumptions!$C$25,0),IF(10=MAX(1,ROUNDUP(Assumptions!$C$9/30,0)),E12*Assumptions!$C$25,0),IF(9=MAX(1,ROUNDUP(Assumptions!$C$9/30,0)),F12*Assumptions!$C$25,0),IF(8=MAX(1,ROUNDUP(Assumptions!$C$9/30,0)),G12*Assumptions!$C$25,0),IF(7=MAX(1,ROUNDUP(Assumptions!$C$9/30,0)),H12*Assumptions!$C$25,0),IF(6=MAX(1,ROUNDUP(Assumptions!$C$9/30,0)),I12*Assumptions!$C$25,0),IF(5=MAX(1,ROUNDUP(Assumptions!$C$9/30,0)),J12*Assumptions!$C$25,0),IF(4=MAX(1,ROUNDUP(Assumptions!$C$9/30,0)),K12*Assumptions!$C$25,0),IF(3=MAX(1,ROUNDUP(Assumptions!$C$9/30,0)),L12*Assumptions!$C$25,0),IF(2=MAX(1,ROUNDUP(Assumptions!$C$9/30,0)),M12*Assumptions!$C$25,0),IF(1=MAX(1,ROUNDUP(Assumptions!$C$9/30,0)),N12*Assumptions!$C$25,0),IF(0=MAX(1,ROUNDUP(Assumptions!$C$9/30,0)),O12*Assumptions!$C$25,0))</f>
        <v>3.8565720942898781E-12</v>
      </c>
      <c r="P19" s="14">
        <f>SUM(IF(13=MAX(1,ROUNDUP(Assumptions!$C$9/30,0)),C12*Assumptions!$C$25,0),IF(12=MAX(1,ROUNDUP(Assumptions!$C$9/30,0)),D12*Assumptions!$C$25,0),IF(11=MAX(1,ROUNDUP(Assumptions!$C$9/30,0)),E12*Assumptions!$C$25,0),IF(10=MAX(1,ROUNDUP(Assumptions!$C$9/30,0)),F12*Assumptions!$C$25,0),IF(9=MAX(1,ROUNDUP(Assumptions!$C$9/30,0)),G12*Assumptions!$C$25,0),IF(8=MAX(1,ROUNDUP(Assumptions!$C$9/30,0)),H12*Assumptions!$C$25,0),IF(7=MAX(1,ROUNDUP(Assumptions!$C$9/30,0)),I12*Assumptions!$C$25,0),IF(6=MAX(1,ROUNDUP(Assumptions!$C$9/30,0)),J12*Assumptions!$C$25,0),IF(5=MAX(1,ROUNDUP(Assumptions!$C$9/30,0)),K12*Assumptions!$C$25,0),IF(4=MAX(1,ROUNDUP(Assumptions!$C$9/30,0)),L12*Assumptions!$C$25,0),IF(3=MAX(1,ROUNDUP(Assumptions!$C$9/30,0)),M12*Assumptions!$C$25,0),IF(2=MAX(1,ROUNDUP(Assumptions!$C$9/30,0)),N12*Assumptions!$C$25,0),IF(1=MAX(1,ROUNDUP(Assumptions!$C$9/30,0)),O12*Assumptions!$C$25,0),IF(0=MAX(1,ROUNDUP(Assumptions!$C$9/30,0)),P12*Assumptions!$C$25,0))</f>
        <v>3.2395205592034972E-13</v>
      </c>
      <c r="Q19" s="14">
        <f>SUM(IF(14=MAX(1,ROUNDUP(Assumptions!$C$9/30,0)),C12*Assumptions!$C$25,0),IF(13=MAX(1,ROUNDUP(Assumptions!$C$9/30,0)),D12*Assumptions!$C$25,0),IF(12=MAX(1,ROUNDUP(Assumptions!$C$9/30,0)),E12*Assumptions!$C$25,0),IF(11=MAX(1,ROUNDUP(Assumptions!$C$9/30,0)),F12*Assumptions!$C$25,0),IF(10=MAX(1,ROUNDUP(Assumptions!$C$9/30,0)),G12*Assumptions!$C$25,0),IF(9=MAX(1,ROUNDUP(Assumptions!$C$9/30,0)),H12*Assumptions!$C$25,0),IF(8=MAX(1,ROUNDUP(Assumptions!$C$9/30,0)),I12*Assumptions!$C$25,0),IF(7=MAX(1,ROUNDUP(Assumptions!$C$9/30,0)),J12*Assumptions!$C$25,0),IF(6=MAX(1,ROUNDUP(Assumptions!$C$9/30,0)),K12*Assumptions!$C$25,0),IF(5=MAX(1,ROUNDUP(Assumptions!$C$9/30,0)),L12*Assumptions!$C$25,0),IF(4=MAX(1,ROUNDUP(Assumptions!$C$9/30,0)),M12*Assumptions!$C$25,0),IF(3=MAX(1,ROUNDUP(Assumptions!$C$9/30,0)),N12*Assumptions!$C$25,0),IF(2=MAX(1,ROUNDUP(Assumptions!$C$9/30,0)),O12*Assumptions!$C$25,0),IF(1=MAX(1,ROUNDUP(Assumptions!$C$9/30,0)),P12*Assumptions!$C$25,0),IF(0=MAX(1,ROUNDUP(Assumptions!$C$9/30,0)),Q12*Assumptions!$C$25,0))</f>
        <v>2.7211972697309372E-14</v>
      </c>
      <c r="R19" s="14">
        <f>SUM(IF(15=MAX(1,ROUNDUP(Assumptions!$C$9/30,0)),C12*Assumptions!$C$25,0),IF(14=MAX(1,ROUNDUP(Assumptions!$C$9/30,0)),D12*Assumptions!$C$25,0),IF(13=MAX(1,ROUNDUP(Assumptions!$C$9/30,0)),E12*Assumptions!$C$25,0),IF(12=MAX(1,ROUNDUP(Assumptions!$C$9/30,0)),F12*Assumptions!$C$25,0),IF(11=MAX(1,ROUNDUP(Assumptions!$C$9/30,0)),G12*Assumptions!$C$25,0),IF(10=MAX(1,ROUNDUP(Assumptions!$C$9/30,0)),H12*Assumptions!$C$25,0),IF(9=MAX(1,ROUNDUP(Assumptions!$C$9/30,0)),I12*Assumptions!$C$25,0),IF(8=MAX(1,ROUNDUP(Assumptions!$C$9/30,0)),J12*Assumptions!$C$25,0),IF(7=MAX(1,ROUNDUP(Assumptions!$C$9/30,0)),K12*Assumptions!$C$25,0),IF(6=MAX(1,ROUNDUP(Assumptions!$C$9/30,0)),L12*Assumptions!$C$25,0),IF(5=MAX(1,ROUNDUP(Assumptions!$C$9/30,0)),M12*Assumptions!$C$25,0),IF(4=MAX(1,ROUNDUP(Assumptions!$C$9/30,0)),N12*Assumptions!$C$25,0),IF(3=MAX(1,ROUNDUP(Assumptions!$C$9/30,0)),O12*Assumptions!$C$25,0),IF(2=MAX(1,ROUNDUP(Assumptions!$C$9/30,0)),P12*Assumptions!$C$25,0),IF(1=MAX(1,ROUNDUP(Assumptions!$C$9/30,0)),Q12*Assumptions!$C$25,0),IF(0=MAX(1,ROUNDUP(Assumptions!$C$9/30,0)),R12*Assumptions!$C$25,0))</f>
        <v>2.2858057065739873E-15</v>
      </c>
      <c r="S19" s="14">
        <f>SUM(IF(16=MAX(1,ROUNDUP(Assumptions!$C$9/30,0)),C12*Assumptions!$C$25,0),IF(15=MAX(1,ROUNDUP(Assumptions!$C$9/30,0)),D12*Assumptions!$C$25,0),IF(14=MAX(1,ROUNDUP(Assumptions!$C$9/30,0)),E12*Assumptions!$C$25,0),IF(13=MAX(1,ROUNDUP(Assumptions!$C$9/30,0)),F12*Assumptions!$C$25,0),IF(12=MAX(1,ROUNDUP(Assumptions!$C$9/30,0)),G12*Assumptions!$C$25,0),IF(11=MAX(1,ROUNDUP(Assumptions!$C$9/30,0)),H12*Assumptions!$C$25,0),IF(10=MAX(1,ROUNDUP(Assumptions!$C$9/30,0)),I12*Assumptions!$C$25,0),IF(9=MAX(1,ROUNDUP(Assumptions!$C$9/30,0)),J12*Assumptions!$C$25,0),IF(8=MAX(1,ROUNDUP(Assumptions!$C$9/30,0)),K12*Assumptions!$C$25,0),IF(7=MAX(1,ROUNDUP(Assumptions!$C$9/30,0)),L12*Assumptions!$C$25,0),IF(6=MAX(1,ROUNDUP(Assumptions!$C$9/30,0)),M12*Assumptions!$C$25,0),IF(5=MAX(1,ROUNDUP(Assumptions!$C$9/30,0)),N12*Assumptions!$C$25,0),IF(4=MAX(1,ROUNDUP(Assumptions!$C$9/30,0)),O12*Assumptions!$C$25,0),IF(3=MAX(1,ROUNDUP(Assumptions!$C$9/30,0)),P12*Assumptions!$C$25,0),IF(2=MAX(1,ROUNDUP(Assumptions!$C$9/30,0)),Q12*Assumptions!$C$25,0),IF(1=MAX(1,ROUNDUP(Assumptions!$C$9/30,0)),R12*Assumptions!$C$25,0),IF(0=MAX(1,ROUNDUP(Assumptions!$C$9/30,0)),S12*Assumptions!$C$25,0))</f>
        <v>1.920076793522149E-16</v>
      </c>
      <c r="T19" s="14">
        <f>SUM(IF(17=MAX(1,ROUNDUP(Assumptions!$C$9/30,0)),C12*Assumptions!$C$25,0),IF(16=MAX(1,ROUNDUP(Assumptions!$C$9/30,0)),D12*Assumptions!$C$25,0),IF(15=MAX(1,ROUNDUP(Assumptions!$C$9/30,0)),E12*Assumptions!$C$25,0),IF(14=MAX(1,ROUNDUP(Assumptions!$C$9/30,0)),F12*Assumptions!$C$25,0),IF(13=MAX(1,ROUNDUP(Assumptions!$C$9/30,0)),G12*Assumptions!$C$25,0),IF(12=MAX(1,ROUNDUP(Assumptions!$C$9/30,0)),H12*Assumptions!$C$25,0),IF(11=MAX(1,ROUNDUP(Assumptions!$C$9/30,0)),I12*Assumptions!$C$25,0),IF(10=MAX(1,ROUNDUP(Assumptions!$C$9/30,0)),J12*Assumptions!$C$25,0),IF(9=MAX(1,ROUNDUP(Assumptions!$C$9/30,0)),K12*Assumptions!$C$25,0),IF(8=MAX(1,ROUNDUP(Assumptions!$C$9/30,0)),L12*Assumptions!$C$25,0),IF(7=MAX(1,ROUNDUP(Assumptions!$C$9/30,0)),M12*Assumptions!$C$25,0),IF(6=MAX(1,ROUNDUP(Assumptions!$C$9/30,0)),N12*Assumptions!$C$25,0),IF(5=MAX(1,ROUNDUP(Assumptions!$C$9/30,0)),O12*Assumptions!$C$25,0),IF(4=MAX(1,ROUNDUP(Assumptions!$C$9/30,0)),P12*Assumptions!$C$25,0),IF(3=MAX(1,ROUNDUP(Assumptions!$C$9/30,0)),Q12*Assumptions!$C$25,0),IF(2=MAX(1,ROUNDUP(Assumptions!$C$9/30,0)),R12*Assumptions!$C$25,0),IF(1=MAX(1,ROUNDUP(Assumptions!$C$9/30,0)),S12*Assumptions!$C$25,0),IF(0=MAX(1,ROUNDUP(Assumptions!$C$9/30,0)),T12*Assumptions!$C$25,0))</f>
        <v>1.6128645065586053E-17</v>
      </c>
      <c r="U19" s="14">
        <f>SUM(IF(18=MAX(1,ROUNDUP(Assumptions!$C$9/30,0)),C12*Assumptions!$C$25,0),IF(17=MAX(1,ROUNDUP(Assumptions!$C$9/30,0)),D12*Assumptions!$C$25,0),IF(16=MAX(1,ROUNDUP(Assumptions!$C$9/30,0)),E12*Assumptions!$C$25,0),IF(15=MAX(1,ROUNDUP(Assumptions!$C$9/30,0)),F12*Assumptions!$C$25,0),IF(14=MAX(1,ROUNDUP(Assumptions!$C$9/30,0)),G12*Assumptions!$C$25,0),IF(13=MAX(1,ROUNDUP(Assumptions!$C$9/30,0)),H12*Assumptions!$C$25,0),IF(12=MAX(1,ROUNDUP(Assumptions!$C$9/30,0)),I12*Assumptions!$C$25,0),IF(11=MAX(1,ROUNDUP(Assumptions!$C$9/30,0)),J12*Assumptions!$C$25,0),IF(10=MAX(1,ROUNDUP(Assumptions!$C$9/30,0)),K12*Assumptions!$C$25,0),IF(9=MAX(1,ROUNDUP(Assumptions!$C$9/30,0)),L12*Assumptions!$C$25,0),IF(8=MAX(1,ROUNDUP(Assumptions!$C$9/30,0)),M12*Assumptions!$C$25,0),IF(7=MAX(1,ROUNDUP(Assumptions!$C$9/30,0)),N12*Assumptions!$C$25,0),IF(6=MAX(1,ROUNDUP(Assumptions!$C$9/30,0)),O12*Assumptions!$C$25,0),IF(5=MAX(1,ROUNDUP(Assumptions!$C$9/30,0)),P12*Assumptions!$C$25,0),IF(4=MAX(1,ROUNDUP(Assumptions!$C$9/30,0)),Q12*Assumptions!$C$25,0),IF(3=MAX(1,ROUNDUP(Assumptions!$C$9/30,0)),R12*Assumptions!$C$25,0),IF(2=MAX(1,ROUNDUP(Assumptions!$C$9/30,0)),S12*Assumptions!$C$25,0),IF(1=MAX(1,ROUNDUP(Assumptions!$C$9/30,0)),T12*Assumptions!$C$25,0),IF(0=MAX(1,ROUNDUP(Assumptions!$C$9/30,0)),U12*Assumptions!$C$25,0))</f>
        <v>1.3548061855092285E-18</v>
      </c>
      <c r="V19" s="14">
        <f>SUM(IF(19=MAX(1,ROUNDUP(Assumptions!$C$9/30,0)),C12*Assumptions!$C$25,0),IF(18=MAX(1,ROUNDUP(Assumptions!$C$9/30,0)),D12*Assumptions!$C$25,0),IF(17=MAX(1,ROUNDUP(Assumptions!$C$9/30,0)),E12*Assumptions!$C$25,0),IF(16=MAX(1,ROUNDUP(Assumptions!$C$9/30,0)),F12*Assumptions!$C$25,0),IF(15=MAX(1,ROUNDUP(Assumptions!$C$9/30,0)),G12*Assumptions!$C$25,0),IF(14=MAX(1,ROUNDUP(Assumptions!$C$9/30,0)),H12*Assumptions!$C$25,0),IF(13=MAX(1,ROUNDUP(Assumptions!$C$9/30,0)),I12*Assumptions!$C$25,0),IF(12=MAX(1,ROUNDUP(Assumptions!$C$9/30,0)),J12*Assumptions!$C$25,0),IF(11=MAX(1,ROUNDUP(Assumptions!$C$9/30,0)),K12*Assumptions!$C$25,0),IF(10=MAX(1,ROUNDUP(Assumptions!$C$9/30,0)),L12*Assumptions!$C$25,0),IF(9=MAX(1,ROUNDUP(Assumptions!$C$9/30,0)),M12*Assumptions!$C$25,0),IF(8=MAX(1,ROUNDUP(Assumptions!$C$9/30,0)),N12*Assumptions!$C$25,0),IF(7=MAX(1,ROUNDUP(Assumptions!$C$9/30,0)),O12*Assumptions!$C$25,0),IF(6=MAX(1,ROUNDUP(Assumptions!$C$9/30,0)),P12*Assumptions!$C$25,0),IF(5=MAX(1,ROUNDUP(Assumptions!$C$9/30,0)),Q12*Assumptions!$C$25,0),IF(4=MAX(1,ROUNDUP(Assumptions!$C$9/30,0)),R12*Assumptions!$C$25,0),IF(3=MAX(1,ROUNDUP(Assumptions!$C$9/30,0)),S12*Assumptions!$C$25,0),IF(2=MAX(1,ROUNDUP(Assumptions!$C$9/30,0)),T12*Assumptions!$C$25,0),IF(1=MAX(1,ROUNDUP(Assumptions!$C$9/30,0)),U12*Assumptions!$C$25,0),IF(0=MAX(1,ROUNDUP(Assumptions!$C$9/30,0)),V12*Assumptions!$C$25,0))</f>
        <v>1.1380371958277518E-19</v>
      </c>
      <c r="W19" s="14">
        <f>SUM(IF(20=MAX(1,ROUNDUP(Assumptions!$C$9/30,0)),C12*Assumptions!$C$25,0),IF(19=MAX(1,ROUNDUP(Assumptions!$C$9/30,0)),D12*Assumptions!$C$25,0),IF(18=MAX(1,ROUNDUP(Assumptions!$C$9/30,0)),E12*Assumptions!$C$25,0),IF(17=MAX(1,ROUNDUP(Assumptions!$C$9/30,0)),F12*Assumptions!$C$25,0),IF(16=MAX(1,ROUNDUP(Assumptions!$C$9/30,0)),G12*Assumptions!$C$25,0),IF(15=MAX(1,ROUNDUP(Assumptions!$C$9/30,0)),H12*Assumptions!$C$25,0),IF(14=MAX(1,ROUNDUP(Assumptions!$C$9/30,0)),I12*Assumptions!$C$25,0),IF(13=MAX(1,ROUNDUP(Assumptions!$C$9/30,0)),J12*Assumptions!$C$25,0),IF(12=MAX(1,ROUNDUP(Assumptions!$C$9/30,0)),K12*Assumptions!$C$25,0),IF(11=MAX(1,ROUNDUP(Assumptions!$C$9/30,0)),L12*Assumptions!$C$25,0),IF(10=MAX(1,ROUNDUP(Assumptions!$C$9/30,0)),M12*Assumptions!$C$25,0),IF(9=MAX(1,ROUNDUP(Assumptions!$C$9/30,0)),N12*Assumptions!$C$25,0),IF(8=MAX(1,ROUNDUP(Assumptions!$C$9/30,0)),O12*Assumptions!$C$25,0),IF(7=MAX(1,ROUNDUP(Assumptions!$C$9/30,0)),P12*Assumptions!$C$25,0),IF(6=MAX(1,ROUNDUP(Assumptions!$C$9/30,0)),Q12*Assumptions!$C$25,0),IF(5=MAX(1,ROUNDUP(Assumptions!$C$9/30,0)),R12*Assumptions!$C$25,0),IF(4=MAX(1,ROUNDUP(Assumptions!$C$9/30,0)),S12*Assumptions!$C$25,0),IF(3=MAX(1,ROUNDUP(Assumptions!$C$9/30,0)),T12*Assumptions!$C$25,0),IF(2=MAX(1,ROUNDUP(Assumptions!$C$9/30,0)),U12*Assumptions!$C$25,0),IF(1=MAX(1,ROUNDUP(Assumptions!$C$9/30,0)),V12*Assumptions!$C$25,0),IF(0=MAX(1,ROUNDUP(Assumptions!$C$9/30,0)),W12*Assumptions!$C$25,0))</f>
        <v>9.559512444953115E-21</v>
      </c>
      <c r="X19" s="14">
        <f>SUM(IF(21=MAX(1,ROUNDUP(Assumptions!$C$9/30,0)),C12*Assumptions!$C$25,0),IF(20=MAX(1,ROUNDUP(Assumptions!$C$9/30,0)),D12*Assumptions!$C$25,0),IF(19=MAX(1,ROUNDUP(Assumptions!$C$9/30,0)),E12*Assumptions!$C$25,0),IF(18=MAX(1,ROUNDUP(Assumptions!$C$9/30,0)),F12*Assumptions!$C$25,0),IF(17=MAX(1,ROUNDUP(Assumptions!$C$9/30,0)),G12*Assumptions!$C$25,0),IF(16=MAX(1,ROUNDUP(Assumptions!$C$9/30,0)),H12*Assumptions!$C$25,0),IF(15=MAX(1,ROUNDUP(Assumptions!$C$9/30,0)),I12*Assumptions!$C$25,0),IF(14=MAX(1,ROUNDUP(Assumptions!$C$9/30,0)),J12*Assumptions!$C$25,0),IF(13=MAX(1,ROUNDUP(Assumptions!$C$9/30,0)),K12*Assumptions!$C$25,0),IF(12=MAX(1,ROUNDUP(Assumptions!$C$9/30,0)),L12*Assumptions!$C$25,0),IF(11=MAX(1,ROUNDUP(Assumptions!$C$9/30,0)),M12*Assumptions!$C$25,0),IF(10=MAX(1,ROUNDUP(Assumptions!$C$9/30,0)),N12*Assumptions!$C$25,0),IF(9=MAX(1,ROUNDUP(Assumptions!$C$9/30,0)),O12*Assumptions!$C$25,0),IF(8=MAX(1,ROUNDUP(Assumptions!$C$9/30,0)),P12*Assumptions!$C$25,0),IF(7=MAX(1,ROUNDUP(Assumptions!$C$9/30,0)),Q12*Assumptions!$C$25,0),IF(6=MAX(1,ROUNDUP(Assumptions!$C$9/30,0)),R12*Assumptions!$C$25,0),IF(5=MAX(1,ROUNDUP(Assumptions!$C$9/30,0)),S12*Assumptions!$C$25,0),IF(4=MAX(1,ROUNDUP(Assumptions!$C$9/30,0)),T12*Assumptions!$C$25,0),IF(3=MAX(1,ROUNDUP(Assumptions!$C$9/30,0)),U12*Assumptions!$C$25,0),IF(2=MAX(1,ROUNDUP(Assumptions!$C$9/30,0)),V12*Assumptions!$C$25,0),IF(1=MAX(1,ROUNDUP(Assumptions!$C$9/30,0)),W12*Assumptions!$C$25,0),IF(0=MAX(1,ROUNDUP(Assumptions!$C$9/30,0)),X12*Assumptions!$C$25,0))</f>
        <v>8.0299904537606154E-22</v>
      </c>
      <c r="Y19" s="14">
        <f>SUM(IF(22=MAX(1,ROUNDUP(Assumptions!$C$9/30,0)),C12*Assumptions!$C$25,0),IF(21=MAX(1,ROUNDUP(Assumptions!$C$9/30,0)),D12*Assumptions!$C$25,0),IF(20=MAX(1,ROUNDUP(Assumptions!$C$9/30,0)),E12*Assumptions!$C$25,0),IF(19=MAX(1,ROUNDUP(Assumptions!$C$9/30,0)),F12*Assumptions!$C$25,0),IF(18=MAX(1,ROUNDUP(Assumptions!$C$9/30,0)),G12*Assumptions!$C$25,0),IF(17=MAX(1,ROUNDUP(Assumptions!$C$9/30,0)),H12*Assumptions!$C$25,0),IF(16=MAX(1,ROUNDUP(Assumptions!$C$9/30,0)),I12*Assumptions!$C$25,0),IF(15=MAX(1,ROUNDUP(Assumptions!$C$9/30,0)),J12*Assumptions!$C$25,0),IF(14=MAX(1,ROUNDUP(Assumptions!$C$9/30,0)),K12*Assumptions!$C$25,0),IF(13=MAX(1,ROUNDUP(Assumptions!$C$9/30,0)),L12*Assumptions!$C$25,0),IF(12=MAX(1,ROUNDUP(Assumptions!$C$9/30,0)),M12*Assumptions!$C$25,0),IF(11=MAX(1,ROUNDUP(Assumptions!$C$9/30,0)),N12*Assumptions!$C$25,0),IF(10=MAX(1,ROUNDUP(Assumptions!$C$9/30,0)),O12*Assumptions!$C$25,0),IF(9=MAX(1,ROUNDUP(Assumptions!$C$9/30,0)),P12*Assumptions!$C$25,0),IF(8=MAX(1,ROUNDUP(Assumptions!$C$9/30,0)),Q12*Assumptions!$C$25,0),IF(7=MAX(1,ROUNDUP(Assumptions!$C$9/30,0)),R12*Assumptions!$C$25,0),IF(6=MAX(1,ROUNDUP(Assumptions!$C$9/30,0)),S12*Assumptions!$C$25,0),IF(5=MAX(1,ROUNDUP(Assumptions!$C$9/30,0)),T12*Assumptions!$C$25,0),IF(4=MAX(1,ROUNDUP(Assumptions!$C$9/30,0)),U12*Assumptions!$C$25,0),IF(3=MAX(1,ROUNDUP(Assumptions!$C$9/30,0)),V12*Assumptions!$C$25,0),IF(2=MAX(1,ROUNDUP(Assumptions!$C$9/30,0)),W12*Assumptions!$C$25,0),IF(1=MAX(1,ROUNDUP(Assumptions!$C$9/30,0)),X12*Assumptions!$C$25,0),IF(0=MAX(1,ROUNDUP(Assumptions!$C$9/30,0)),Y12*Assumptions!$C$25,0))</f>
        <v>6.7451919811589169E-23</v>
      </c>
      <c r="Z19" s="14">
        <f>SUM(IF(23=MAX(1,ROUNDUP(Assumptions!$C$9/30,0)),C12*Assumptions!$C$25,0),IF(22=MAX(1,ROUNDUP(Assumptions!$C$9/30,0)),D12*Assumptions!$C$25,0),IF(21=MAX(1,ROUNDUP(Assumptions!$C$9/30,0)),E12*Assumptions!$C$25,0),IF(20=MAX(1,ROUNDUP(Assumptions!$C$9/30,0)),F12*Assumptions!$C$25,0),IF(19=MAX(1,ROUNDUP(Assumptions!$C$9/30,0)),G12*Assumptions!$C$25,0),IF(18=MAX(1,ROUNDUP(Assumptions!$C$9/30,0)),H12*Assumptions!$C$25,0),IF(17=MAX(1,ROUNDUP(Assumptions!$C$9/30,0)),I12*Assumptions!$C$25,0),IF(16=MAX(1,ROUNDUP(Assumptions!$C$9/30,0)),J12*Assumptions!$C$25,0),IF(15=MAX(1,ROUNDUP(Assumptions!$C$9/30,0)),K12*Assumptions!$C$25,0),IF(14=MAX(1,ROUNDUP(Assumptions!$C$9/30,0)),L12*Assumptions!$C$25,0),IF(13=MAX(1,ROUNDUP(Assumptions!$C$9/30,0)),M12*Assumptions!$C$25,0),IF(12=MAX(1,ROUNDUP(Assumptions!$C$9/30,0)),N12*Assumptions!$C$25,0),IF(11=MAX(1,ROUNDUP(Assumptions!$C$9/30,0)),O12*Assumptions!$C$25,0),IF(10=MAX(1,ROUNDUP(Assumptions!$C$9/30,0)),P12*Assumptions!$C$25,0),IF(9=MAX(1,ROUNDUP(Assumptions!$C$9/30,0)),Q12*Assumptions!$C$25,0),IF(8=MAX(1,ROUNDUP(Assumptions!$C$9/30,0)),R12*Assumptions!$C$25,0),IF(7=MAX(1,ROUNDUP(Assumptions!$C$9/30,0)),S12*Assumptions!$C$25,0),IF(6=MAX(1,ROUNDUP(Assumptions!$C$9/30,0)),T12*Assumptions!$C$25,0),IF(5=MAX(1,ROUNDUP(Assumptions!$C$9/30,0)),U12*Assumptions!$C$25,0),IF(4=MAX(1,ROUNDUP(Assumptions!$C$9/30,0)),V12*Assumptions!$C$25,0),IF(3=MAX(1,ROUNDUP(Assumptions!$C$9/30,0)),W12*Assumptions!$C$25,0),IF(2=MAX(1,ROUNDUP(Assumptions!$C$9/30,0)),X12*Assumptions!$C$25,0),IF(1=MAX(1,ROUNDUP(Assumptions!$C$9/30,0)),Y12*Assumptions!$C$25,0),IF(0=MAX(1,ROUNDUP(Assumptions!$C$9/30,0)),Z12*Assumptions!$C$25,0))</f>
        <v>5.6659612641734896E-24</v>
      </c>
    </row>
    <row r="20" spans="1:26" ht="16.5" customHeight="1">
      <c r="A20" s="1" t="s">
        <v>250</v>
      </c>
      <c r="B20" s="1" t="s">
        <v>103</v>
      </c>
      <c r="C20" s="14">
        <f>IF(0=Assumptions!$C$12,$C$8*Assumptions!$C$26,0)</f>
        <v>0</v>
      </c>
      <c r="D20" s="14">
        <f>IF(1=Assumptions!$C$12,$C$8*Assumptions!$C$26,0)</f>
        <v>4.2</v>
      </c>
      <c r="E20" s="14">
        <f>IF(2=Assumptions!$C$12,$C$8*Assumptions!$C$26,0)</f>
        <v>0</v>
      </c>
      <c r="F20" s="14">
        <f>IF(3=Assumptions!$C$12,$C$8*Assumptions!$C$26,0)</f>
        <v>0</v>
      </c>
      <c r="G20" s="14">
        <f>IF(4=Assumptions!$C$12,$C$8*Assumptions!$C$26,0)</f>
        <v>0</v>
      </c>
      <c r="H20" s="14">
        <f>IF(5=Assumptions!$C$12,$C$8*Assumptions!$C$26,0)</f>
        <v>0</v>
      </c>
      <c r="I20" s="14">
        <f>IF(6=Assumptions!$C$12,$C$8*Assumptions!$C$26,0)</f>
        <v>0</v>
      </c>
      <c r="J20" s="14">
        <f>IF(7=Assumptions!$C$12,$C$8*Assumptions!$C$26,0)</f>
        <v>0</v>
      </c>
      <c r="K20" s="14">
        <f>IF(8=Assumptions!$C$12,$C$8*Assumptions!$C$26,0)</f>
        <v>0</v>
      </c>
      <c r="L20" s="14">
        <f>IF(9=Assumptions!$C$12,$C$8*Assumptions!$C$26,0)</f>
        <v>0</v>
      </c>
      <c r="M20" s="14">
        <f>IF(10=Assumptions!$C$12,$C$8*Assumptions!$C$26,0)</f>
        <v>0</v>
      </c>
      <c r="N20" s="14">
        <f>IF(11=Assumptions!$C$12,$C$8*Assumptions!$C$26,0)</f>
        <v>0</v>
      </c>
      <c r="O20" s="14">
        <f>IF(12=Assumptions!$C$12,$C$8*Assumptions!$C$26,0)</f>
        <v>0</v>
      </c>
      <c r="P20" s="14">
        <f>IF(13=Assumptions!$C$12,$C$8*Assumptions!$C$26,0)</f>
        <v>0</v>
      </c>
      <c r="Q20" s="14">
        <f>IF(14=Assumptions!$C$12,$C$8*Assumptions!$C$26,0)</f>
        <v>0</v>
      </c>
      <c r="R20" s="14">
        <f>IF(15=Assumptions!$C$12,$C$8*Assumptions!$C$26,0)</f>
        <v>0</v>
      </c>
      <c r="S20" s="14">
        <f>IF(16=Assumptions!$C$12,$C$8*Assumptions!$C$26,0)</f>
        <v>0</v>
      </c>
      <c r="T20" s="14">
        <f>IF(17=Assumptions!$C$12,$C$8*Assumptions!$C$26,0)</f>
        <v>0</v>
      </c>
      <c r="U20" s="14">
        <f>IF(18=Assumptions!$C$12,$C$8*Assumptions!$C$26,0)</f>
        <v>0</v>
      </c>
      <c r="V20" s="14">
        <f>IF(19=Assumptions!$C$12,$C$8*Assumptions!$C$26,0)</f>
        <v>0</v>
      </c>
      <c r="W20" s="14">
        <f>IF(20=Assumptions!$C$12,$C$8*Assumptions!$C$26,0)</f>
        <v>0</v>
      </c>
      <c r="X20" s="14">
        <f>IF(21=Assumptions!$C$12,$C$8*Assumptions!$C$26,0)</f>
        <v>0</v>
      </c>
      <c r="Y20" s="14">
        <f>IF(22=Assumptions!$C$12,$C$8*Assumptions!$C$26,0)</f>
        <v>0</v>
      </c>
      <c r="Z20" s="14">
        <f>IF(23=Assumptions!$C$12,$C$8*Assumptions!$C$26,0)</f>
        <v>0</v>
      </c>
    </row>
    <row r="21" spans="1:26" ht="16.5" customHeight="1">
      <c r="A21" s="5" t="s">
        <v>251</v>
      </c>
      <c r="B21" s="5" t="s">
        <v>103</v>
      </c>
      <c r="C21" s="16">
        <f t="shared" ref="C21:Z21" si="2">SUM(C18:C20)</f>
        <v>0</v>
      </c>
      <c r="D21" s="16">
        <f t="shared" si="2"/>
        <v>7.2</v>
      </c>
      <c r="E21" s="16">
        <f t="shared" si="2"/>
        <v>3.3704999999999998</v>
      </c>
      <c r="F21" s="16">
        <f t="shared" si="2"/>
        <v>3.326022</v>
      </c>
      <c r="G21" s="16">
        <f t="shared" si="2"/>
        <v>3.4744308480000008</v>
      </c>
      <c r="H21" s="16">
        <f t="shared" si="2"/>
        <v>3.6466494412319999</v>
      </c>
      <c r="I21" s="16">
        <f t="shared" si="2"/>
        <v>3.8288556655634882</v>
      </c>
      <c r="J21" s="16">
        <f t="shared" si="2"/>
        <v>4.0202878440323326</v>
      </c>
      <c r="K21" s="16">
        <f t="shared" si="2"/>
        <v>4.2213013454299668</v>
      </c>
      <c r="L21" s="16">
        <f t="shared" si="2"/>
        <v>4.4323663378739289</v>
      </c>
      <c r="M21" s="16">
        <f t="shared" si="2"/>
        <v>4.6539846484821137</v>
      </c>
      <c r="N21" s="16">
        <f t="shared" si="2"/>
        <v>4.8866838803782366</v>
      </c>
      <c r="O21" s="16">
        <f t="shared" si="2"/>
        <v>5.1310180743527978</v>
      </c>
      <c r="P21" s="16">
        <f t="shared" si="2"/>
        <v>5.387568978066712</v>
      </c>
      <c r="Q21" s="16">
        <f t="shared" si="2"/>
        <v>5.6569474269697348</v>
      </c>
      <c r="R21" s="16">
        <f t="shared" si="2"/>
        <v>5.9397947983181938</v>
      </c>
      <c r="S21" s="16">
        <f t="shared" si="2"/>
        <v>6.2367845382341027</v>
      </c>
      <c r="T21" s="16">
        <f t="shared" si="2"/>
        <v>6.5486237651458072</v>
      </c>
      <c r="U21" s="16">
        <f t="shared" si="2"/>
        <v>6.8760549534030995</v>
      </c>
      <c r="V21" s="16">
        <f t="shared" si="2"/>
        <v>7.2198577010732539</v>
      </c>
      <c r="W21" s="16">
        <f t="shared" si="2"/>
        <v>7.5808505861269166</v>
      </c>
      <c r="X21" s="16">
        <f t="shared" si="2"/>
        <v>7.9598931154332622</v>
      </c>
      <c r="Y21" s="16">
        <f t="shared" si="2"/>
        <v>8.3578877712049255</v>
      </c>
      <c r="Z21" s="16">
        <f t="shared" si="2"/>
        <v>8.7757821597651713</v>
      </c>
    </row>
    <row r="22" spans="1:26" ht="16.5" customHeight="1">
      <c r="A22" s="1" t="s">
        <v>252</v>
      </c>
      <c r="B22" s="1" t="s">
        <v>103</v>
      </c>
      <c r="C22" s="14">
        <f>0</f>
        <v>0</v>
      </c>
      <c r="D22" s="14">
        <f t="shared" ref="D22:Z22" si="3">C31</f>
        <v>0</v>
      </c>
      <c r="E22" s="14">
        <f t="shared" si="3"/>
        <v>2.8800000000000003</v>
      </c>
      <c r="F22" s="14">
        <f t="shared" si="3"/>
        <v>4.0438800000000006</v>
      </c>
      <c r="G22" s="14">
        <f t="shared" si="3"/>
        <v>5.1154804800000004</v>
      </c>
      <c r="H22" s="14">
        <f t="shared" si="3"/>
        <v>6.1778620684800005</v>
      </c>
      <c r="I22" s="14">
        <f t="shared" si="3"/>
        <v>7.2411386725900799</v>
      </c>
      <c r="J22" s="14">
        <f t="shared" si="3"/>
        <v>8.3092480637697115</v>
      </c>
      <c r="K22" s="14">
        <f t="shared" si="3"/>
        <v>9.3855713253013828</v>
      </c>
      <c r="L22" s="14">
        <f t="shared" si="3"/>
        <v>10.473415298654082</v>
      </c>
      <c r="M22" s="14">
        <f t="shared" si="3"/>
        <v>11.576063254689792</v>
      </c>
      <c r="N22" s="14">
        <f t="shared" si="3"/>
        <v>12.696789065782491</v>
      </c>
      <c r="O22" s="14">
        <f t="shared" si="3"/>
        <v>13.838868117723706</v>
      </c>
      <c r="P22" s="14">
        <f t="shared" si="3"/>
        <v>15.005587787930509</v>
      </c>
      <c r="Q22" s="14">
        <f t="shared" si="3"/>
        <v>16.200257760729642</v>
      </c>
      <c r="R22" s="14">
        <f t="shared" si="3"/>
        <v>17.42622023483084</v>
      </c>
      <c r="S22" s="14">
        <f t="shared" si="3"/>
        <v>18.686860059128946</v>
      </c>
      <c r="T22" s="14">
        <f t="shared" si="3"/>
        <v>19.985614830638333</v>
      </c>
      <c r="U22" s="14">
        <f t="shared" si="3"/>
        <v>21.325984987535804</v>
      </c>
      <c r="V22" s="14">
        <f t="shared" si="3"/>
        <v>22.711543929694752</v>
      </c>
      <c r="W22" s="14">
        <f t="shared" si="3"/>
        <v>24.145948198623589</v>
      </c>
      <c r="X22" s="14">
        <f t="shared" si="3"/>
        <v>25.632947748362447</v>
      </c>
      <c r="Y22" s="14">
        <f t="shared" si="3"/>
        <v>27.176396338640558</v>
      </c>
      <c r="Z22" s="14">
        <f t="shared" si="3"/>
        <v>28.780262081449532</v>
      </c>
    </row>
    <row r="23" spans="1:26" ht="16.5" customHeight="1">
      <c r="A23" s="1" t="s">
        <v>253</v>
      </c>
      <c r="B23" s="1" t="s">
        <v>103</v>
      </c>
      <c r="C23" s="14">
        <f>0</f>
        <v>0</v>
      </c>
      <c r="D23" s="14">
        <f t="shared" ref="D23:Z23" si="4">C32</f>
        <v>0</v>
      </c>
      <c r="E23" s="14">
        <f t="shared" si="4"/>
        <v>3.24</v>
      </c>
      <c r="F23" s="14">
        <f t="shared" si="4"/>
        <v>4.5493649999999999</v>
      </c>
      <c r="G23" s="14">
        <f t="shared" si="4"/>
        <v>5.7549155399999998</v>
      </c>
      <c r="H23" s="14">
        <f t="shared" si="4"/>
        <v>6.95009482704</v>
      </c>
      <c r="I23" s="14">
        <f t="shared" si="4"/>
        <v>8.1462810066638411</v>
      </c>
      <c r="J23" s="14">
        <f t="shared" si="4"/>
        <v>9.3479040717409241</v>
      </c>
      <c r="K23" s="14">
        <f t="shared" si="4"/>
        <v>10.558767740964054</v>
      </c>
      <c r="L23" s="14">
        <f t="shared" si="4"/>
        <v>11.78259221098584</v>
      </c>
      <c r="M23" s="14">
        <f t="shared" si="4"/>
        <v>13.023071161526014</v>
      </c>
      <c r="N23" s="14">
        <f t="shared" si="4"/>
        <v>14.2838876990053</v>
      </c>
      <c r="O23" s="14">
        <f t="shared" si="4"/>
        <v>15.568726632439168</v>
      </c>
      <c r="P23" s="14">
        <f t="shared" si="4"/>
        <v>16.88128626142182</v>
      </c>
      <c r="Q23" s="14">
        <f t="shared" si="4"/>
        <v>18.225289980820843</v>
      </c>
      <c r="R23" s="14">
        <f t="shared" si="4"/>
        <v>19.604497764184689</v>
      </c>
      <c r="S23" s="14">
        <f t="shared" si="4"/>
        <v>21.022717566520054</v>
      </c>
      <c r="T23" s="14">
        <f t="shared" si="4"/>
        <v>22.483816684468117</v>
      </c>
      <c r="U23" s="14">
        <f t="shared" si="4"/>
        <v>23.991733110977769</v>
      </c>
      <c r="V23" s="14">
        <f t="shared" si="4"/>
        <v>25.550486920906586</v>
      </c>
      <c r="W23" s="14">
        <f t="shared" si="4"/>
        <v>27.164191723451527</v>
      </c>
      <c r="X23" s="14">
        <f t="shared" si="4"/>
        <v>28.837066216907743</v>
      </c>
      <c r="Y23" s="14">
        <f t="shared" si="4"/>
        <v>30.573445880970617</v>
      </c>
      <c r="Z23" s="14">
        <f t="shared" si="4"/>
        <v>32.377794841630717</v>
      </c>
    </row>
    <row r="24" spans="1:26" ht="16.5" customHeight="1">
      <c r="A24" s="1" t="s">
        <v>254</v>
      </c>
      <c r="B24" s="1" t="s">
        <v>103</v>
      </c>
      <c r="C24" s="14">
        <f>0</f>
        <v>0</v>
      </c>
      <c r="D24" s="14">
        <f t="shared" ref="D24:Z24" si="5">C33</f>
        <v>0</v>
      </c>
      <c r="E24" s="14">
        <f t="shared" si="5"/>
        <v>1.08</v>
      </c>
      <c r="F24" s="14">
        <f t="shared" si="5"/>
        <v>1.5164550000000001</v>
      </c>
      <c r="G24" s="14">
        <f t="shared" si="5"/>
        <v>1.9183051800000002</v>
      </c>
      <c r="H24" s="14">
        <f t="shared" si="5"/>
        <v>2.3166982756800003</v>
      </c>
      <c r="I24" s="14">
        <f t="shared" si="5"/>
        <v>2.7154270022212801</v>
      </c>
      <c r="J24" s="14">
        <f t="shared" si="5"/>
        <v>3.1159680239136414</v>
      </c>
      <c r="K24" s="14">
        <f t="shared" si="5"/>
        <v>3.5195892469880183</v>
      </c>
      <c r="L24" s="14">
        <f t="shared" si="5"/>
        <v>3.9275307369952803</v>
      </c>
      <c r="M24" s="14">
        <f t="shared" si="5"/>
        <v>4.3410237205086712</v>
      </c>
      <c r="N24" s="14">
        <f t="shared" si="5"/>
        <v>4.7612958996684336</v>
      </c>
      <c r="O24" s="14">
        <f t="shared" si="5"/>
        <v>5.1895755441463889</v>
      </c>
      <c r="P24" s="14">
        <f t="shared" si="5"/>
        <v>5.6270954204739398</v>
      </c>
      <c r="Q24" s="14">
        <f t="shared" si="5"/>
        <v>6.0750966602736138</v>
      </c>
      <c r="R24" s="14">
        <f t="shared" si="5"/>
        <v>6.5348325880615628</v>
      </c>
      <c r="S24" s="14">
        <f t="shared" si="5"/>
        <v>7.0075725221733514</v>
      </c>
      <c r="T24" s="14">
        <f t="shared" si="5"/>
        <v>7.4946055614893723</v>
      </c>
      <c r="U24" s="14">
        <f t="shared" si="5"/>
        <v>7.9972443703259239</v>
      </c>
      <c r="V24" s="14">
        <f t="shared" si="5"/>
        <v>8.5168289736355298</v>
      </c>
      <c r="W24" s="14">
        <f t="shared" si="5"/>
        <v>9.0547305744838429</v>
      </c>
      <c r="X24" s="14">
        <f t="shared" si="5"/>
        <v>9.6123554056359151</v>
      </c>
      <c r="Y24" s="14">
        <f t="shared" si="5"/>
        <v>10.191148626990206</v>
      </c>
      <c r="Z24" s="14">
        <f t="shared" si="5"/>
        <v>10.792598280543572</v>
      </c>
    </row>
    <row r="25" spans="1:26" ht="16.5" customHeight="1">
      <c r="A25" s="1" t="s">
        <v>255</v>
      </c>
      <c r="B25" s="1" t="s">
        <v>103</v>
      </c>
      <c r="C25" s="14">
        <f>C22*Assumptions!$C$28</f>
        <v>0</v>
      </c>
      <c r="D25" s="14">
        <f>D22*Assumptions!$C$28</f>
        <v>0</v>
      </c>
      <c r="E25" s="14">
        <f>E22*Assumptions!$C$28</f>
        <v>0.18432000000000001</v>
      </c>
      <c r="F25" s="14">
        <f>F22*Assumptions!$C$28</f>
        <v>0.25880832000000004</v>
      </c>
      <c r="G25" s="14">
        <f>G22*Assumptions!$C$28</f>
        <v>0.32739075072000001</v>
      </c>
      <c r="H25" s="14">
        <f>H22*Assumptions!$C$28</f>
        <v>0.39538317238272003</v>
      </c>
      <c r="I25" s="14">
        <f>I22*Assumptions!$C$28</f>
        <v>0.46343287504576514</v>
      </c>
      <c r="J25" s="14">
        <f>J22*Assumptions!$C$28</f>
        <v>0.53179187608126155</v>
      </c>
      <c r="K25" s="14">
        <f>K22*Assumptions!$C$28</f>
        <v>0.60067656481928855</v>
      </c>
      <c r="L25" s="14">
        <f>L22*Assumptions!$C$28</f>
        <v>0.67029857911386126</v>
      </c>
      <c r="M25" s="14">
        <f>M22*Assumptions!$C$28</f>
        <v>0.74086804830014674</v>
      </c>
      <c r="N25" s="14">
        <f>N22*Assumptions!$C$28</f>
        <v>0.81259450021007951</v>
      </c>
      <c r="O25" s="14">
        <f>O22*Assumptions!$C$28</f>
        <v>0.88568755953431721</v>
      </c>
      <c r="P25" s="14">
        <f>P22*Assumptions!$C$28</f>
        <v>0.96035761842755252</v>
      </c>
      <c r="Q25" s="14">
        <f>Q22*Assumptions!$C$28</f>
        <v>1.0368164966866971</v>
      </c>
      <c r="R25" s="14">
        <f>R22*Assumptions!$C$28</f>
        <v>1.1152780950291739</v>
      </c>
      <c r="S25" s="14">
        <f>S22*Assumptions!$C$28</f>
        <v>1.1959590437842527</v>
      </c>
      <c r="T25" s="14">
        <f>T22*Assumptions!$C$28</f>
        <v>1.2790793491608534</v>
      </c>
      <c r="U25" s="14">
        <f>U22*Assumptions!$C$28</f>
        <v>1.3648630392022916</v>
      </c>
      <c r="V25" s="14">
        <f>V22*Assumptions!$C$28</f>
        <v>1.4535388115004642</v>
      </c>
      <c r="W25" s="14">
        <f>W22*Assumptions!$C$28</f>
        <v>1.5453406847119098</v>
      </c>
      <c r="X25" s="14">
        <f>X22*Assumptions!$C$28</f>
        <v>1.6405086558951967</v>
      </c>
      <c r="Y25" s="14">
        <f>Y22*Assumptions!$C$28</f>
        <v>1.7392893656729957</v>
      </c>
      <c r="Z25" s="14">
        <f>Z22*Assumptions!$C$28</f>
        <v>1.8419367732127701</v>
      </c>
    </row>
    <row r="26" spans="1:26" ht="16.5" customHeight="1">
      <c r="A26" s="1" t="s">
        <v>256</v>
      </c>
      <c r="B26" s="1" t="s">
        <v>103</v>
      </c>
      <c r="C26" s="14">
        <f>C23*Assumptions!$C$29</f>
        <v>0</v>
      </c>
      <c r="D26" s="14">
        <f>D23*Assumptions!$C$29</f>
        <v>0</v>
      </c>
      <c r="E26" s="14">
        <f>E23*Assumptions!$C$29</f>
        <v>0.20736000000000002</v>
      </c>
      <c r="F26" s="14">
        <f>F23*Assumptions!$C$29</f>
        <v>0.29115935999999998</v>
      </c>
      <c r="G26" s="14">
        <f>G23*Assumptions!$C$29</f>
        <v>0.36831459455999999</v>
      </c>
      <c r="H26" s="14">
        <f>H23*Assumptions!$C$29</f>
        <v>0.44480606893056002</v>
      </c>
      <c r="I26" s="14">
        <f>I23*Assumptions!$C$29</f>
        <v>0.52136198442648585</v>
      </c>
      <c r="J26" s="14">
        <f>J23*Assumptions!$C$29</f>
        <v>0.59826586059141917</v>
      </c>
      <c r="K26" s="14">
        <f>K23*Assumptions!$C$29</f>
        <v>0.67576113542169947</v>
      </c>
      <c r="L26" s="14">
        <f>L23*Assumptions!$C$29</f>
        <v>0.75408590150309374</v>
      </c>
      <c r="M26" s="14">
        <f>M23*Assumptions!$C$29</f>
        <v>0.83347655433766488</v>
      </c>
      <c r="N26" s="14">
        <f>N23*Assumptions!$C$29</f>
        <v>0.91416881273633921</v>
      </c>
      <c r="O26" s="14">
        <f>O23*Assumptions!$C$29</f>
        <v>0.99639850447610678</v>
      </c>
      <c r="P26" s="14">
        <f>P23*Assumptions!$C$29</f>
        <v>1.0804023207309965</v>
      </c>
      <c r="Q26" s="14">
        <f>Q23*Assumptions!$C$29</f>
        <v>1.166418558772534</v>
      </c>
      <c r="R26" s="14">
        <f>R23*Assumptions!$C$29</f>
        <v>1.2546878569078201</v>
      </c>
      <c r="S26" s="14">
        <f>S23*Assumptions!$C$29</f>
        <v>1.3454539242572834</v>
      </c>
      <c r="T26" s="14">
        <f>T23*Assumptions!$C$29</f>
        <v>1.4389642678059595</v>
      </c>
      <c r="U26" s="14">
        <f>U23*Assumptions!$C$29</f>
        <v>1.5354709191025773</v>
      </c>
      <c r="V26" s="14">
        <f>V23*Assumptions!$C$29</f>
        <v>1.6352311629380216</v>
      </c>
      <c r="W26" s="14">
        <f>W23*Assumptions!$C$29</f>
        <v>1.7385082703008978</v>
      </c>
      <c r="X26" s="14">
        <f>X23*Assumptions!$C$29</f>
        <v>1.8455722378820956</v>
      </c>
      <c r="Y26" s="14">
        <f>Y23*Assumptions!$C$29</f>
        <v>1.9567005363821195</v>
      </c>
      <c r="Z26" s="14">
        <f>Z23*Assumptions!$C$29</f>
        <v>2.0721788698643659</v>
      </c>
    </row>
    <row r="27" spans="1:26" ht="16.5" customHeight="1">
      <c r="A27" s="1" t="s">
        <v>257</v>
      </c>
      <c r="B27" s="1" t="s">
        <v>103</v>
      </c>
      <c r="C27" s="14">
        <f>C24*Assumptions!$C$30</f>
        <v>0</v>
      </c>
      <c r="D27" s="14">
        <f>D24*Assumptions!$C$30</f>
        <v>0</v>
      </c>
      <c r="E27" s="14">
        <f>E24*Assumptions!$C$30</f>
        <v>6.9120000000000001E-2</v>
      </c>
      <c r="F27" s="14">
        <f>F24*Assumptions!$C$30</f>
        <v>9.7053120000000007E-2</v>
      </c>
      <c r="G27" s="14">
        <f>G24*Assumptions!$C$30</f>
        <v>0.12277153152000002</v>
      </c>
      <c r="H27" s="14">
        <f>H24*Assumptions!$C$30</f>
        <v>0.14826868964352002</v>
      </c>
      <c r="I27" s="14">
        <f>I24*Assumptions!$C$30</f>
        <v>0.17378732814216194</v>
      </c>
      <c r="J27" s="14">
        <f>J24*Assumptions!$C$30</f>
        <v>0.19942195353047304</v>
      </c>
      <c r="K27" s="14">
        <f>K24*Assumptions!$C$30</f>
        <v>0.22525371180723316</v>
      </c>
      <c r="L27" s="14">
        <f>L24*Assumptions!$C$30</f>
        <v>0.25136196716769793</v>
      </c>
      <c r="M27" s="14">
        <f>M24*Assumptions!$C$30</f>
        <v>0.27782551811255496</v>
      </c>
      <c r="N27" s="14">
        <f>N24*Assumptions!$C$30</f>
        <v>0.30472293757877977</v>
      </c>
      <c r="O27" s="14">
        <f>O24*Assumptions!$C$30</f>
        <v>0.33213283482536887</v>
      </c>
      <c r="P27" s="14">
        <f>P24*Assumptions!$C$30</f>
        <v>0.36013410691033215</v>
      </c>
      <c r="Q27" s="14">
        <f>Q24*Assumptions!$C$30</f>
        <v>0.38880618625751129</v>
      </c>
      <c r="R27" s="14">
        <f>R24*Assumptions!$C$30</f>
        <v>0.41822928563594003</v>
      </c>
      <c r="S27" s="14">
        <f>S24*Assumptions!$C$30</f>
        <v>0.4484846414190945</v>
      </c>
      <c r="T27" s="14">
        <f>T24*Assumptions!$C$30</f>
        <v>0.47965475593531981</v>
      </c>
      <c r="U27" s="14">
        <f>U24*Assumptions!$C$30</f>
        <v>0.51182363970085909</v>
      </c>
      <c r="V27" s="14">
        <f>V24*Assumptions!$C$30</f>
        <v>0.54507705431267395</v>
      </c>
      <c r="W27" s="14">
        <f>W24*Assumptions!$C$30</f>
        <v>0.57950275676696594</v>
      </c>
      <c r="X27" s="14">
        <f>X24*Assumptions!$C$30</f>
        <v>0.61519074596069856</v>
      </c>
      <c r="Y27" s="14">
        <f>Y24*Assumptions!$C$30</f>
        <v>0.65223351212737313</v>
      </c>
      <c r="Z27" s="14">
        <f>Z24*Assumptions!$C$30</f>
        <v>0.69072628995478869</v>
      </c>
    </row>
    <row r="28" spans="1:26" ht="16.5" customHeight="1">
      <c r="A28" s="1" t="s">
        <v>258</v>
      </c>
      <c r="B28" s="1" t="s">
        <v>103</v>
      </c>
      <c r="C28" s="14">
        <f>C21*Assumptions!$C$33</f>
        <v>0</v>
      </c>
      <c r="D28" s="14">
        <f>D21*Assumptions!$C$33</f>
        <v>2.8800000000000003</v>
      </c>
      <c r="E28" s="14">
        <f>E21*Assumptions!$C$33</f>
        <v>1.3482000000000001</v>
      </c>
      <c r="F28" s="14">
        <f>F21*Assumptions!$C$33</f>
        <v>1.3304088000000001</v>
      </c>
      <c r="G28" s="14">
        <f>G21*Assumptions!$C$33</f>
        <v>1.3897723392000003</v>
      </c>
      <c r="H28" s="14">
        <f>H21*Assumptions!$C$33</f>
        <v>1.4586597764928</v>
      </c>
      <c r="I28" s="14">
        <f>I21*Assumptions!$C$33</f>
        <v>1.5315422662253955</v>
      </c>
      <c r="J28" s="14">
        <f>J21*Assumptions!$C$33</f>
        <v>1.6081151376129332</v>
      </c>
      <c r="K28" s="14">
        <f>K21*Assumptions!$C$33</f>
        <v>1.6885205381719868</v>
      </c>
      <c r="L28" s="14">
        <f>L21*Assumptions!$C$33</f>
        <v>1.7729465351495717</v>
      </c>
      <c r="M28" s="14">
        <f>M21*Assumptions!$C$33</f>
        <v>1.8615938593928456</v>
      </c>
      <c r="N28" s="14">
        <f>N21*Assumptions!$C$33</f>
        <v>1.9546735521512948</v>
      </c>
      <c r="O28" s="14">
        <f>O21*Assumptions!$C$33</f>
        <v>2.0524072297411191</v>
      </c>
      <c r="P28" s="14">
        <f>P21*Assumptions!$C$33</f>
        <v>2.155027591226685</v>
      </c>
      <c r="Q28" s="14">
        <f>Q21*Assumptions!$C$33</f>
        <v>2.262778970787894</v>
      </c>
      <c r="R28" s="14">
        <f>R21*Assumptions!$C$33</f>
        <v>2.3759179193272777</v>
      </c>
      <c r="S28" s="14">
        <f>S21*Assumptions!$C$33</f>
        <v>2.4947138152936414</v>
      </c>
      <c r="T28" s="14">
        <f>T21*Assumptions!$C$33</f>
        <v>2.6194495060583232</v>
      </c>
      <c r="U28" s="14">
        <f>U21*Assumptions!$C$33</f>
        <v>2.7504219813612401</v>
      </c>
      <c r="V28" s="14">
        <f>V21*Assumptions!$C$33</f>
        <v>2.8879430804293018</v>
      </c>
      <c r="W28" s="14">
        <f>W21*Assumptions!$C$33</f>
        <v>3.0323402344507668</v>
      </c>
      <c r="X28" s="14">
        <f>X21*Assumptions!$C$33</f>
        <v>3.1839572461733052</v>
      </c>
      <c r="Y28" s="14">
        <f>Y21*Assumptions!$C$33</f>
        <v>3.3431551084819704</v>
      </c>
      <c r="Z28" s="14">
        <f>Z21*Assumptions!$C$33</f>
        <v>3.5103128639060688</v>
      </c>
    </row>
    <row r="29" spans="1:26" ht="16.5" customHeight="1">
      <c r="A29" s="1" t="s">
        <v>259</v>
      </c>
      <c r="B29" s="1" t="s">
        <v>103</v>
      </c>
      <c r="C29" s="14">
        <f>C21*Assumptions!$C$34</f>
        <v>0</v>
      </c>
      <c r="D29" s="14">
        <f>D21*Assumptions!$C$34</f>
        <v>3.24</v>
      </c>
      <c r="E29" s="14">
        <f>E21*Assumptions!$C$34</f>
        <v>1.5167249999999999</v>
      </c>
      <c r="F29" s="14">
        <f>F21*Assumptions!$C$34</f>
        <v>1.4967099000000001</v>
      </c>
      <c r="G29" s="14">
        <f>G21*Assumptions!$C$34</f>
        <v>1.5634938816000004</v>
      </c>
      <c r="H29" s="14">
        <f>H21*Assumptions!$C$34</f>
        <v>1.6409922485544</v>
      </c>
      <c r="I29" s="14">
        <f>I21*Assumptions!$C$34</f>
        <v>1.7229850495035697</v>
      </c>
      <c r="J29" s="14">
        <f>J21*Assumptions!$C$34</f>
        <v>1.8091295298145498</v>
      </c>
      <c r="K29" s="14">
        <f>K21*Assumptions!$C$34</f>
        <v>1.8995856054434852</v>
      </c>
      <c r="L29" s="14">
        <f>L21*Assumptions!$C$34</f>
        <v>1.9945648520432679</v>
      </c>
      <c r="M29" s="14">
        <f>M21*Assumptions!$C$34</f>
        <v>2.0942930918169513</v>
      </c>
      <c r="N29" s="14">
        <f>N21*Assumptions!$C$34</f>
        <v>2.1990077461702064</v>
      </c>
      <c r="O29" s="14">
        <f>O21*Assumptions!$C$34</f>
        <v>2.3089581334587592</v>
      </c>
      <c r="P29" s="14">
        <f>P21*Assumptions!$C$34</f>
        <v>2.4244060401300205</v>
      </c>
      <c r="Q29" s="14">
        <f>Q21*Assumptions!$C$34</f>
        <v>2.5456263421363809</v>
      </c>
      <c r="R29" s="14">
        <f>R21*Assumptions!$C$34</f>
        <v>2.6729076592431871</v>
      </c>
      <c r="S29" s="14">
        <f>S21*Assumptions!$C$34</f>
        <v>2.8065530422053464</v>
      </c>
      <c r="T29" s="14">
        <f>T21*Assumptions!$C$34</f>
        <v>2.9468806943156132</v>
      </c>
      <c r="U29" s="14">
        <f>U21*Assumptions!$C$34</f>
        <v>3.0942247290313949</v>
      </c>
      <c r="V29" s="14">
        <f>V21*Assumptions!$C$34</f>
        <v>3.2489359654829641</v>
      </c>
      <c r="W29" s="14">
        <f>W21*Assumptions!$C$34</f>
        <v>3.4113827637571124</v>
      </c>
      <c r="X29" s="14">
        <f>X21*Assumptions!$C$34</f>
        <v>3.5819519019449682</v>
      </c>
      <c r="Y29" s="14">
        <f>Y21*Assumptions!$C$34</f>
        <v>3.7610494970422166</v>
      </c>
      <c r="Z29" s="14">
        <f>Z21*Assumptions!$C$34</f>
        <v>3.949101971894327</v>
      </c>
    </row>
    <row r="30" spans="1:26" ht="16.5" customHeight="1">
      <c r="A30" s="1" t="s">
        <v>260</v>
      </c>
      <c r="B30" s="1" t="s">
        <v>103</v>
      </c>
      <c r="C30" s="14">
        <f>C21*Assumptions!$C$35</f>
        <v>0</v>
      </c>
      <c r="D30" s="14">
        <f>D21*Assumptions!$C$35</f>
        <v>1.08</v>
      </c>
      <c r="E30" s="14">
        <f>E21*Assumptions!$C$35</f>
        <v>0.505575</v>
      </c>
      <c r="F30" s="14">
        <f>F21*Assumptions!$C$35</f>
        <v>0.49890329999999999</v>
      </c>
      <c r="G30" s="14">
        <f>G21*Assumptions!$C$35</f>
        <v>0.52116462720000012</v>
      </c>
      <c r="H30" s="14">
        <f>H21*Assumptions!$C$35</f>
        <v>0.54699741618479991</v>
      </c>
      <c r="I30" s="14">
        <f>I21*Assumptions!$C$35</f>
        <v>0.57432834983452319</v>
      </c>
      <c r="J30" s="14">
        <f>J21*Assumptions!$C$35</f>
        <v>0.60304317660484985</v>
      </c>
      <c r="K30" s="14">
        <f>K21*Assumptions!$C$35</f>
        <v>0.63319520181449496</v>
      </c>
      <c r="L30" s="14">
        <f>L21*Assumptions!$C$35</f>
        <v>0.66485495068108935</v>
      </c>
      <c r="M30" s="14">
        <f>M21*Assumptions!$C$35</f>
        <v>0.69809769727231707</v>
      </c>
      <c r="N30" s="14">
        <f>N21*Assumptions!$C$35</f>
        <v>0.73300258205673552</v>
      </c>
      <c r="O30" s="14">
        <f>O21*Assumptions!$C$35</f>
        <v>0.76965271115291967</v>
      </c>
      <c r="P30" s="14">
        <f>P21*Assumptions!$C$35</f>
        <v>0.80813534671000675</v>
      </c>
      <c r="Q30" s="14">
        <f>Q21*Assumptions!$C$35</f>
        <v>0.84854211404546021</v>
      </c>
      <c r="R30" s="14">
        <f>R21*Assumptions!$C$35</f>
        <v>0.89096921974772902</v>
      </c>
      <c r="S30" s="14">
        <f>S21*Assumptions!$C$35</f>
        <v>0.93551768073511532</v>
      </c>
      <c r="T30" s="14">
        <f>T21*Assumptions!$C$35</f>
        <v>0.98229356477187102</v>
      </c>
      <c r="U30" s="14">
        <f>U21*Assumptions!$C$35</f>
        <v>1.031408243010465</v>
      </c>
      <c r="V30" s="14">
        <f>V21*Assumptions!$C$35</f>
        <v>1.0829786551609881</v>
      </c>
      <c r="W30" s="14">
        <f>W21*Assumptions!$C$35</f>
        <v>1.1371275879190375</v>
      </c>
      <c r="X30" s="14">
        <f>X21*Assumptions!$C$35</f>
        <v>1.1939839673149892</v>
      </c>
      <c r="Y30" s="14">
        <f>Y21*Assumptions!$C$35</f>
        <v>1.2536831656807388</v>
      </c>
      <c r="Z30" s="14">
        <f>Z21*Assumptions!$C$35</f>
        <v>1.3163673239647757</v>
      </c>
    </row>
    <row r="31" spans="1:26" ht="16.5" customHeight="1">
      <c r="A31" s="1" t="s">
        <v>261</v>
      </c>
      <c r="B31" s="1" t="s">
        <v>103</v>
      </c>
      <c r="C31" s="14">
        <f t="shared" ref="C31:Z31" si="6">C22-C25+C28</f>
        <v>0</v>
      </c>
      <c r="D31" s="14">
        <f t="shared" si="6"/>
        <v>2.8800000000000003</v>
      </c>
      <c r="E31" s="14">
        <f t="shared" si="6"/>
        <v>4.0438800000000006</v>
      </c>
      <c r="F31" s="14">
        <f t="shared" si="6"/>
        <v>5.1154804800000004</v>
      </c>
      <c r="G31" s="14">
        <f t="shared" si="6"/>
        <v>6.1778620684800005</v>
      </c>
      <c r="H31" s="14">
        <f t="shared" si="6"/>
        <v>7.2411386725900799</v>
      </c>
      <c r="I31" s="14">
        <f t="shared" si="6"/>
        <v>8.3092480637697115</v>
      </c>
      <c r="J31" s="14">
        <f t="shared" si="6"/>
        <v>9.3855713253013828</v>
      </c>
      <c r="K31" s="14">
        <f t="shared" si="6"/>
        <v>10.473415298654082</v>
      </c>
      <c r="L31" s="14">
        <f t="shared" si="6"/>
        <v>11.576063254689792</v>
      </c>
      <c r="M31" s="14">
        <f t="shared" si="6"/>
        <v>12.696789065782491</v>
      </c>
      <c r="N31" s="14">
        <f t="shared" si="6"/>
        <v>13.838868117723706</v>
      </c>
      <c r="O31" s="14">
        <f t="shared" si="6"/>
        <v>15.005587787930509</v>
      </c>
      <c r="P31" s="14">
        <f t="shared" si="6"/>
        <v>16.200257760729642</v>
      </c>
      <c r="Q31" s="14">
        <f t="shared" si="6"/>
        <v>17.42622023483084</v>
      </c>
      <c r="R31" s="14">
        <f t="shared" si="6"/>
        <v>18.686860059128946</v>
      </c>
      <c r="S31" s="14">
        <f t="shared" si="6"/>
        <v>19.985614830638333</v>
      </c>
      <c r="T31" s="14">
        <f t="shared" si="6"/>
        <v>21.325984987535804</v>
      </c>
      <c r="U31" s="14">
        <f t="shared" si="6"/>
        <v>22.711543929694752</v>
      </c>
      <c r="V31" s="14">
        <f t="shared" si="6"/>
        <v>24.145948198623589</v>
      </c>
      <c r="W31" s="14">
        <f t="shared" si="6"/>
        <v>25.632947748362447</v>
      </c>
      <c r="X31" s="14">
        <f t="shared" si="6"/>
        <v>27.176396338640558</v>
      </c>
      <c r="Y31" s="14">
        <f t="shared" si="6"/>
        <v>28.780262081449532</v>
      </c>
      <c r="Z31" s="14">
        <f t="shared" si="6"/>
        <v>30.448638172142832</v>
      </c>
    </row>
    <row r="32" spans="1:26" ht="16.5" customHeight="1">
      <c r="A32" s="1" t="s">
        <v>262</v>
      </c>
      <c r="B32" s="1" t="s">
        <v>103</v>
      </c>
      <c r="C32" s="14">
        <f t="shared" ref="C32:Z32" si="7">C23-C26+C29</f>
        <v>0</v>
      </c>
      <c r="D32" s="14">
        <f t="shared" si="7"/>
        <v>3.24</v>
      </c>
      <c r="E32" s="14">
        <f t="shared" si="7"/>
        <v>4.5493649999999999</v>
      </c>
      <c r="F32" s="14">
        <f t="shared" si="7"/>
        <v>5.7549155399999998</v>
      </c>
      <c r="G32" s="14">
        <f t="shared" si="7"/>
        <v>6.95009482704</v>
      </c>
      <c r="H32" s="14">
        <f t="shared" si="7"/>
        <v>8.1462810066638411</v>
      </c>
      <c r="I32" s="14">
        <f t="shared" si="7"/>
        <v>9.3479040717409241</v>
      </c>
      <c r="J32" s="14">
        <f t="shared" si="7"/>
        <v>10.558767740964054</v>
      </c>
      <c r="K32" s="14">
        <f t="shared" si="7"/>
        <v>11.78259221098584</v>
      </c>
      <c r="L32" s="14">
        <f t="shared" si="7"/>
        <v>13.023071161526014</v>
      </c>
      <c r="M32" s="14">
        <f t="shared" si="7"/>
        <v>14.2838876990053</v>
      </c>
      <c r="N32" s="14">
        <f t="shared" si="7"/>
        <v>15.568726632439168</v>
      </c>
      <c r="O32" s="14">
        <f t="shared" si="7"/>
        <v>16.88128626142182</v>
      </c>
      <c r="P32" s="14">
        <f t="shared" si="7"/>
        <v>18.225289980820843</v>
      </c>
      <c r="Q32" s="14">
        <f t="shared" si="7"/>
        <v>19.604497764184689</v>
      </c>
      <c r="R32" s="14">
        <f t="shared" si="7"/>
        <v>21.022717566520054</v>
      </c>
      <c r="S32" s="14">
        <f t="shared" si="7"/>
        <v>22.483816684468117</v>
      </c>
      <c r="T32" s="14">
        <f t="shared" si="7"/>
        <v>23.991733110977769</v>
      </c>
      <c r="U32" s="14">
        <f t="shared" si="7"/>
        <v>25.550486920906586</v>
      </c>
      <c r="V32" s="14">
        <f t="shared" si="7"/>
        <v>27.164191723451527</v>
      </c>
      <c r="W32" s="14">
        <f t="shared" si="7"/>
        <v>28.837066216907743</v>
      </c>
      <c r="X32" s="14">
        <f t="shared" si="7"/>
        <v>30.573445880970617</v>
      </c>
      <c r="Y32" s="14">
        <f t="shared" si="7"/>
        <v>32.377794841630717</v>
      </c>
      <c r="Z32" s="14">
        <f t="shared" si="7"/>
        <v>34.25471794366068</v>
      </c>
    </row>
    <row r="33" spans="1:26" ht="16.5" customHeight="1">
      <c r="A33" s="1" t="s">
        <v>263</v>
      </c>
      <c r="B33" s="1" t="s">
        <v>103</v>
      </c>
      <c r="C33" s="14">
        <f t="shared" ref="C33:Z33" si="8">C24-C27+C30</f>
        <v>0</v>
      </c>
      <c r="D33" s="14">
        <f t="shared" si="8"/>
        <v>1.08</v>
      </c>
      <c r="E33" s="14">
        <f t="shared" si="8"/>
        <v>1.5164550000000001</v>
      </c>
      <c r="F33" s="14">
        <f t="shared" si="8"/>
        <v>1.9183051800000002</v>
      </c>
      <c r="G33" s="14">
        <f t="shared" si="8"/>
        <v>2.3166982756800003</v>
      </c>
      <c r="H33" s="14">
        <f t="shared" si="8"/>
        <v>2.7154270022212801</v>
      </c>
      <c r="I33" s="14">
        <f t="shared" si="8"/>
        <v>3.1159680239136414</v>
      </c>
      <c r="J33" s="14">
        <f t="shared" si="8"/>
        <v>3.5195892469880183</v>
      </c>
      <c r="K33" s="14">
        <f t="shared" si="8"/>
        <v>3.9275307369952803</v>
      </c>
      <c r="L33" s="14">
        <f t="shared" si="8"/>
        <v>4.3410237205086712</v>
      </c>
      <c r="M33" s="14">
        <f t="shared" si="8"/>
        <v>4.7612958996684336</v>
      </c>
      <c r="N33" s="14">
        <f t="shared" si="8"/>
        <v>5.1895755441463889</v>
      </c>
      <c r="O33" s="14">
        <f t="shared" si="8"/>
        <v>5.6270954204739398</v>
      </c>
      <c r="P33" s="14">
        <f t="shared" si="8"/>
        <v>6.0750966602736138</v>
      </c>
      <c r="Q33" s="14">
        <f t="shared" si="8"/>
        <v>6.5348325880615628</v>
      </c>
      <c r="R33" s="14">
        <f t="shared" si="8"/>
        <v>7.0075725221733514</v>
      </c>
      <c r="S33" s="14">
        <f t="shared" si="8"/>
        <v>7.4946055614893723</v>
      </c>
      <c r="T33" s="14">
        <f t="shared" si="8"/>
        <v>7.9972443703259239</v>
      </c>
      <c r="U33" s="14">
        <f t="shared" si="8"/>
        <v>8.5168289736355298</v>
      </c>
      <c r="V33" s="14">
        <f t="shared" si="8"/>
        <v>9.0547305744838429</v>
      </c>
      <c r="W33" s="14">
        <f t="shared" si="8"/>
        <v>9.6123554056359151</v>
      </c>
      <c r="X33" s="14">
        <f t="shared" si="8"/>
        <v>10.191148626990206</v>
      </c>
      <c r="Y33" s="14">
        <f t="shared" si="8"/>
        <v>10.792598280543572</v>
      </c>
      <c r="Z33" s="14">
        <f t="shared" si="8"/>
        <v>11.41823931455356</v>
      </c>
    </row>
    <row r="34" spans="1:26" ht="16.5" customHeight="1">
      <c r="A34" s="5" t="s">
        <v>264</v>
      </c>
      <c r="B34" s="5" t="s">
        <v>103</v>
      </c>
      <c r="C34" s="16">
        <f t="shared" ref="C34:Z34" si="9">SUM(C31:C33)</f>
        <v>0</v>
      </c>
      <c r="D34" s="16">
        <f t="shared" si="9"/>
        <v>7.2000000000000011</v>
      </c>
      <c r="E34" s="16">
        <f t="shared" si="9"/>
        <v>10.1097</v>
      </c>
      <c r="F34" s="16">
        <f t="shared" si="9"/>
        <v>12.788701200000002</v>
      </c>
      <c r="G34" s="16">
        <f t="shared" si="9"/>
        <v>15.444655171200001</v>
      </c>
      <c r="H34" s="16">
        <f t="shared" si="9"/>
        <v>18.102846681475199</v>
      </c>
      <c r="I34" s="16">
        <f t="shared" si="9"/>
        <v>20.773120159424277</v>
      </c>
      <c r="J34" s="16">
        <f t="shared" si="9"/>
        <v>23.463928313253454</v>
      </c>
      <c r="K34" s="16">
        <f t="shared" si="9"/>
        <v>26.183538246635202</v>
      </c>
      <c r="L34" s="16">
        <f t="shared" si="9"/>
        <v>28.940158136724477</v>
      </c>
      <c r="M34" s="16">
        <f t="shared" si="9"/>
        <v>31.741972664456224</v>
      </c>
      <c r="N34" s="16">
        <f t="shared" si="9"/>
        <v>34.597170294309258</v>
      </c>
      <c r="O34" s="16">
        <f t="shared" si="9"/>
        <v>37.513969469826272</v>
      </c>
      <c r="P34" s="16">
        <f t="shared" si="9"/>
        <v>40.500644401824104</v>
      </c>
      <c r="Q34" s="16">
        <f t="shared" si="9"/>
        <v>43.565550587077091</v>
      </c>
      <c r="R34" s="16">
        <f t="shared" si="9"/>
        <v>46.717150147822352</v>
      </c>
      <c r="S34" s="16">
        <f t="shared" si="9"/>
        <v>49.964037076595822</v>
      </c>
      <c r="T34" s="16">
        <f t="shared" si="9"/>
        <v>53.314962468839497</v>
      </c>
      <c r="U34" s="16">
        <f t="shared" si="9"/>
        <v>56.778859824236861</v>
      </c>
      <c r="V34" s="16">
        <f t="shared" si="9"/>
        <v>60.364870496558957</v>
      </c>
      <c r="W34" s="16">
        <f t="shared" si="9"/>
        <v>64.082369370906108</v>
      </c>
      <c r="X34" s="16">
        <f t="shared" si="9"/>
        <v>67.94099084660138</v>
      </c>
      <c r="Y34" s="16">
        <f t="shared" si="9"/>
        <v>71.950655203623825</v>
      </c>
      <c r="Z34" s="16">
        <f t="shared" si="9"/>
        <v>76.121595430357075</v>
      </c>
    </row>
    <row r="35" spans="1:26" ht="16.5" customHeight="1">
      <c r="A35" s="1" t="s">
        <v>265</v>
      </c>
      <c r="B35" s="1" t="s">
        <v>103</v>
      </c>
      <c r="C35" s="14">
        <f>0</f>
        <v>0</v>
      </c>
      <c r="D35" s="14">
        <f t="shared" ref="D35:Z35" si="10">C40</f>
        <v>12.5</v>
      </c>
      <c r="E35" s="14">
        <f t="shared" si="10"/>
        <v>32.828000000000003</v>
      </c>
      <c r="F35" s="14">
        <f t="shared" si="10"/>
        <v>42.081092000000012</v>
      </c>
      <c r="G35" s="14">
        <f t="shared" si="10"/>
        <v>48.892603808000004</v>
      </c>
      <c r="H35" s="14">
        <f t="shared" si="10"/>
        <v>54.617932314752011</v>
      </c>
      <c r="I35" s="14">
        <f t="shared" si="10"/>
        <v>59.679309642846867</v>
      </c>
      <c r="J35" s="14">
        <f t="shared" si="10"/>
        <v>64.33042510880874</v>
      </c>
      <c r="K35" s="14">
        <f t="shared" si="10"/>
        <v>68.747808529364733</v>
      </c>
      <c r="L35" s="14">
        <f t="shared" si="10"/>
        <v>73.057520991926609</v>
      </c>
      <c r="M35" s="14">
        <f t="shared" si="10"/>
        <v>77.35071337107091</v>
      </c>
      <c r="N35" s="14">
        <f t="shared" si="10"/>
        <v>81.694261355719334</v>
      </c>
      <c r="O35" s="14">
        <f t="shared" si="10"/>
        <v>86.138195330232932</v>
      </c>
      <c r="P35" s="14">
        <f t="shared" si="10"/>
        <v>90.720907232049768</v>
      </c>
      <c r="Q35" s="14">
        <f t="shared" si="10"/>
        <v>95.472803349041584</v>
      </c>
      <c r="R35" s="14">
        <f t="shared" si="10"/>
        <v>100.41886979326851</v>
      </c>
      <c r="S35" s="14">
        <f t="shared" si="10"/>
        <v>105.58047725680539</v>
      </c>
      <c r="T35" s="14">
        <f t="shared" si="10"/>
        <v>110.97665368435979</v>
      </c>
      <c r="U35" s="14">
        <f t="shared" si="10"/>
        <v>116.62498492876816</v>
      </c>
      <c r="V35" s="14">
        <f t="shared" si="10"/>
        <v>122.54225545927741</v>
      </c>
      <c r="W35" s="14">
        <f t="shared" si="10"/>
        <v>128.74490759634443</v>
      </c>
      <c r="X35" s="14">
        <f t="shared" si="10"/>
        <v>135.24937423051117</v>
      </c>
      <c r="Y35" s="14">
        <f t="shared" si="10"/>
        <v>142.07232352279215</v>
      </c>
      <c r="Z35" s="14">
        <f t="shared" si="10"/>
        <v>149.23084256319783</v>
      </c>
    </row>
    <row r="36" spans="1:26" ht="16.5" customHeight="1">
      <c r="A36" s="1" t="s">
        <v>266</v>
      </c>
      <c r="B36" s="1" t="s">
        <v>103</v>
      </c>
      <c r="C36" s="14">
        <f t="shared" ref="C36:Z36" si="11">C14-C15</f>
        <v>12.5</v>
      </c>
      <c r="D36" s="14">
        <f t="shared" si="11"/>
        <v>8.7780000000000022</v>
      </c>
      <c r="E36" s="14">
        <f t="shared" si="11"/>
        <v>8.8517520000000012</v>
      </c>
      <c r="F36" s="14">
        <f t="shared" si="11"/>
        <v>9.2636671680000013</v>
      </c>
      <c r="G36" s="14">
        <f t="shared" si="11"/>
        <v>9.7242740421119986</v>
      </c>
      <c r="H36" s="14">
        <f t="shared" si="11"/>
        <v>10.21027131953741</v>
      </c>
      <c r="I36" s="14">
        <f t="shared" si="11"/>
        <v>10.720766705841143</v>
      </c>
      <c r="J36" s="14">
        <f t="shared" si="11"/>
        <v>11.256803514040659</v>
      </c>
      <c r="K36" s="14">
        <f t="shared" si="11"/>
        <v>11.819643561466918</v>
      </c>
      <c r="L36" s="14">
        <f t="shared" si="11"/>
        <v>12.410625728765098</v>
      </c>
      <c r="M36" s="14">
        <f t="shared" si="11"/>
        <v>13.031157014298241</v>
      </c>
      <c r="N36" s="14">
        <f t="shared" si="11"/>
        <v>13.682714864937129</v>
      </c>
      <c r="O36" s="14">
        <f t="shared" si="11"/>
        <v>14.366850608177593</v>
      </c>
      <c r="P36" s="14">
        <f t="shared" si="11"/>
        <v>15.085193138585936</v>
      </c>
      <c r="Q36" s="14">
        <f t="shared" si="11"/>
        <v>15.839452795515182</v>
      </c>
      <c r="R36" s="14">
        <f t="shared" si="11"/>
        <v>16.631425435290943</v>
      </c>
      <c r="S36" s="14">
        <f t="shared" si="11"/>
        <v>17.462996707055488</v>
      </c>
      <c r="T36" s="14">
        <f t="shared" si="11"/>
        <v>18.336146542408269</v>
      </c>
      <c r="U36" s="14">
        <f t="shared" si="11"/>
        <v>19.252953869528682</v>
      </c>
      <c r="V36" s="14">
        <f t="shared" si="11"/>
        <v>20.215601563005112</v>
      </c>
      <c r="W36" s="14">
        <f t="shared" si="11"/>
        <v>21.226381641155371</v>
      </c>
      <c r="X36" s="14">
        <f t="shared" si="11"/>
        <v>22.287700723213135</v>
      </c>
      <c r="Y36" s="14">
        <f t="shared" si="11"/>
        <v>23.40208575937379</v>
      </c>
      <c r="Z36" s="14">
        <f t="shared" si="11"/>
        <v>24.572190047342488</v>
      </c>
    </row>
    <row r="37" spans="1:26" ht="16.5" customHeight="1">
      <c r="A37" s="1" t="s">
        <v>267</v>
      </c>
      <c r="B37" s="1" t="s">
        <v>103</v>
      </c>
      <c r="C37" s="14">
        <f>SUM(IF(0=MAX(1,ROUNDUP(Assumptions!$C$9/30,0)),C13*(1-Assumptions!$C$24),0),IF(0=MAX(1,ROUNDUP(Assumptions!$C$9/30,0)),C12*(1-Assumptions!$C$25),0))+IF(0=Assumptions!$C$12,$C$8*(1-Assumptions!$C$26),0)</f>
        <v>0</v>
      </c>
      <c r="D37" s="14">
        <f>SUM(IF(1=MAX(1,ROUNDUP(Assumptions!$C$9/30,0)),C13*(1-Assumptions!$C$24),0),IF(0=MAX(1,ROUNDUP(Assumptions!$C$9/30,0)),D13*(1-Assumptions!$C$24),0),IF(1=MAX(1,ROUNDUP(Assumptions!$C$9/30,0)),C12*(1-Assumptions!$C$25),0),IF(0=MAX(1,ROUNDUP(Assumptions!$C$9/30,0)),D12*(1-Assumptions!$C$25),0))+IF(1=Assumptions!$C$12,$C$8*(1-Assumptions!$C$26),0)</f>
        <v>15.3</v>
      </c>
      <c r="E37" s="14">
        <f>SUM(IF(2=MAX(1,ROUNDUP(Assumptions!$C$9/30,0)),C13*(1-Assumptions!$C$24),0),IF(1=MAX(1,ROUNDUP(Assumptions!$C$9/30,0)),D13*(1-Assumptions!$C$24),0),IF(0=MAX(1,ROUNDUP(Assumptions!$C$9/30,0)),E13*(1-Assumptions!$C$24),0),IF(2=MAX(1,ROUNDUP(Assumptions!$C$9/30,0)),C12*(1-Assumptions!$C$25),0),IF(1=MAX(1,ROUNDUP(Assumptions!$C$9/30,0)),D12*(1-Assumptions!$C$25),0),IF(0=MAX(1,ROUNDUP(Assumptions!$C$9/30,0)),E12*(1-Assumptions!$C$25),0))+IF(2=Assumptions!$C$12,$C$8*(1-Assumptions!$C$26),0)</f>
        <v>10.111499999999999</v>
      </c>
      <c r="F37" s="14">
        <f>SUM(IF(3=MAX(1,ROUNDUP(Assumptions!$C$9/30,0)),C13*(1-Assumptions!$C$24),0),IF(2=MAX(1,ROUNDUP(Assumptions!$C$9/30,0)),D13*(1-Assumptions!$C$24),0),IF(1=MAX(1,ROUNDUP(Assumptions!$C$9/30,0)),E13*(1-Assumptions!$C$24),0),IF(0=MAX(1,ROUNDUP(Assumptions!$C$9/30,0)),F13*(1-Assumptions!$C$24),0),IF(3=MAX(1,ROUNDUP(Assumptions!$C$9/30,0)),C12*(1-Assumptions!$C$25),0),IF(2=MAX(1,ROUNDUP(Assumptions!$C$9/30,0)),D12*(1-Assumptions!$C$25),0),IF(1=MAX(1,ROUNDUP(Assumptions!$C$9/30,0)),E12*(1-Assumptions!$C$25),0),IF(0=MAX(1,ROUNDUP(Assumptions!$C$9/30,0)),F12*(1-Assumptions!$C$25),0))+IF(3=Assumptions!$C$12,$C$8*(1-Assumptions!$C$26),0)</f>
        <v>9.9780660000000001</v>
      </c>
      <c r="G37" s="14">
        <f>SUM(IF(4=MAX(1,ROUNDUP(Assumptions!$C$9/30,0)),C13*(1-Assumptions!$C$24),0),IF(3=MAX(1,ROUNDUP(Assumptions!$C$9/30,0)),D13*(1-Assumptions!$C$24),0),IF(2=MAX(1,ROUNDUP(Assumptions!$C$9/30,0)),E13*(1-Assumptions!$C$24),0),IF(1=MAX(1,ROUNDUP(Assumptions!$C$9/30,0)),F13*(1-Assumptions!$C$24),0),IF(0=MAX(1,ROUNDUP(Assumptions!$C$9/30,0)),G13*(1-Assumptions!$C$24),0),IF(4=MAX(1,ROUNDUP(Assumptions!$C$9/30,0)),C12*(1-Assumptions!$C$25),0),IF(3=MAX(1,ROUNDUP(Assumptions!$C$9/30,0)),D12*(1-Assumptions!$C$25),0),IF(2=MAX(1,ROUNDUP(Assumptions!$C$9/30,0)),E12*(1-Assumptions!$C$25),0),IF(1=MAX(1,ROUNDUP(Assumptions!$C$9/30,0)),F12*(1-Assumptions!$C$25),0),IF(0=MAX(1,ROUNDUP(Assumptions!$C$9/30,0)),G12*(1-Assumptions!$C$25),0))+IF(4=Assumptions!$C$12,$C$8*(1-Assumptions!$C$26),0)</f>
        <v>10.423292544000002</v>
      </c>
      <c r="H37" s="14">
        <f>SUM(IF(5=MAX(1,ROUNDUP(Assumptions!$C$9/30,0)),C13*(1-Assumptions!$C$24),0),IF(4=MAX(1,ROUNDUP(Assumptions!$C$9/30,0)),D13*(1-Assumptions!$C$24),0),IF(3=MAX(1,ROUNDUP(Assumptions!$C$9/30,0)),E13*(1-Assumptions!$C$24),0),IF(2=MAX(1,ROUNDUP(Assumptions!$C$9/30,0)),F13*(1-Assumptions!$C$24),0),IF(1=MAX(1,ROUNDUP(Assumptions!$C$9/30,0)),G13*(1-Assumptions!$C$24),0),IF(0=MAX(1,ROUNDUP(Assumptions!$C$9/30,0)),H13*(1-Assumptions!$C$24),0),IF(5=MAX(1,ROUNDUP(Assumptions!$C$9/30,0)),C12*(1-Assumptions!$C$25),0),IF(4=MAX(1,ROUNDUP(Assumptions!$C$9/30,0)),D12*(1-Assumptions!$C$25),0),IF(3=MAX(1,ROUNDUP(Assumptions!$C$9/30,0)),E12*(1-Assumptions!$C$25),0),IF(2=MAX(1,ROUNDUP(Assumptions!$C$9/30,0)),F12*(1-Assumptions!$C$25),0),IF(1=MAX(1,ROUNDUP(Assumptions!$C$9/30,0)),G12*(1-Assumptions!$C$25),0),IF(0=MAX(1,ROUNDUP(Assumptions!$C$9/30,0)),H12*(1-Assumptions!$C$25),0))+IF(5=Assumptions!$C$12,$C$8*(1-Assumptions!$C$26),0)</f>
        <v>10.939948323695999</v>
      </c>
      <c r="I37" s="14">
        <f>SUM(IF(6=MAX(1,ROUNDUP(Assumptions!$C$9/30,0)),C13*(1-Assumptions!$C$24),0),IF(5=MAX(1,ROUNDUP(Assumptions!$C$9/30,0)),D13*(1-Assumptions!$C$24),0),IF(4=MAX(1,ROUNDUP(Assumptions!$C$9/30,0)),E13*(1-Assumptions!$C$24),0),IF(3=MAX(1,ROUNDUP(Assumptions!$C$9/30,0)),F13*(1-Assumptions!$C$24),0),IF(2=MAX(1,ROUNDUP(Assumptions!$C$9/30,0)),G13*(1-Assumptions!$C$24),0),IF(1=MAX(1,ROUNDUP(Assumptions!$C$9/30,0)),H13*(1-Assumptions!$C$24),0),IF(0=MAX(1,ROUNDUP(Assumptions!$C$9/30,0)),I13*(1-Assumptions!$C$24),0),IF(6=MAX(1,ROUNDUP(Assumptions!$C$9/30,0)),C12*(1-Assumptions!$C$25),0),IF(5=MAX(1,ROUNDUP(Assumptions!$C$9/30,0)),D12*(1-Assumptions!$C$25),0),IF(4=MAX(1,ROUNDUP(Assumptions!$C$9/30,0)),E12*(1-Assumptions!$C$25),0),IF(3=MAX(1,ROUNDUP(Assumptions!$C$9/30,0)),F12*(1-Assumptions!$C$25),0),IF(2=MAX(1,ROUNDUP(Assumptions!$C$9/30,0)),G12*(1-Assumptions!$C$25),0),IF(1=MAX(1,ROUNDUP(Assumptions!$C$9/30,0)),H12*(1-Assumptions!$C$25),0),IF(0=MAX(1,ROUNDUP(Assumptions!$C$9/30,0)),I12*(1-Assumptions!$C$25),0))+IF(6=Assumptions!$C$12,$C$8*(1-Assumptions!$C$26),0)</f>
        <v>11.486566996690465</v>
      </c>
      <c r="J37" s="14">
        <f>SUM(IF(7=MAX(1,ROUNDUP(Assumptions!$C$9/30,0)),C13*(1-Assumptions!$C$24),0),IF(6=MAX(1,ROUNDUP(Assumptions!$C$9/30,0)),D13*(1-Assumptions!$C$24),0),IF(5=MAX(1,ROUNDUP(Assumptions!$C$9/30,0)),E13*(1-Assumptions!$C$24),0),IF(4=MAX(1,ROUNDUP(Assumptions!$C$9/30,0)),F13*(1-Assumptions!$C$24),0),IF(3=MAX(1,ROUNDUP(Assumptions!$C$9/30,0)),G13*(1-Assumptions!$C$24),0),IF(2=MAX(1,ROUNDUP(Assumptions!$C$9/30,0)),H13*(1-Assumptions!$C$24),0),IF(1=MAX(1,ROUNDUP(Assumptions!$C$9/30,0)),I13*(1-Assumptions!$C$24),0),IF(0=MAX(1,ROUNDUP(Assumptions!$C$9/30,0)),J13*(1-Assumptions!$C$24),0),IF(7=MAX(1,ROUNDUP(Assumptions!$C$9/30,0)),C12*(1-Assumptions!$C$25),0),IF(6=MAX(1,ROUNDUP(Assumptions!$C$9/30,0)),D12*(1-Assumptions!$C$25),0),IF(5=MAX(1,ROUNDUP(Assumptions!$C$9/30,0)),E12*(1-Assumptions!$C$25),0),IF(4=MAX(1,ROUNDUP(Assumptions!$C$9/30,0)),F12*(1-Assumptions!$C$25),0),IF(3=MAX(1,ROUNDUP(Assumptions!$C$9/30,0)),G12*(1-Assumptions!$C$25),0),IF(2=MAX(1,ROUNDUP(Assumptions!$C$9/30,0)),H12*(1-Assumptions!$C$25),0),IF(1=MAX(1,ROUNDUP(Assumptions!$C$9/30,0)),I12*(1-Assumptions!$C$25),0),IF(0=MAX(1,ROUNDUP(Assumptions!$C$9/30,0)),J12*(1-Assumptions!$C$25),0))+IF(7=Assumptions!$C$12,$C$8*(1-Assumptions!$C$26),0)</f>
        <v>12.060863532096999</v>
      </c>
      <c r="K37" s="14">
        <f>SUM(IF(8=MAX(1,ROUNDUP(Assumptions!$C$9/30,0)),C13*(1-Assumptions!$C$24),0),IF(7=MAX(1,ROUNDUP(Assumptions!$C$9/30,0)),D13*(1-Assumptions!$C$24),0),IF(6=MAX(1,ROUNDUP(Assumptions!$C$9/30,0)),E13*(1-Assumptions!$C$24),0),IF(5=MAX(1,ROUNDUP(Assumptions!$C$9/30,0)),F13*(1-Assumptions!$C$24),0),IF(4=MAX(1,ROUNDUP(Assumptions!$C$9/30,0)),G13*(1-Assumptions!$C$24),0),IF(3=MAX(1,ROUNDUP(Assumptions!$C$9/30,0)),H13*(1-Assumptions!$C$24),0),IF(2=MAX(1,ROUNDUP(Assumptions!$C$9/30,0)),I13*(1-Assumptions!$C$24),0),IF(1=MAX(1,ROUNDUP(Assumptions!$C$9/30,0)),J13*(1-Assumptions!$C$24),0),IF(0=MAX(1,ROUNDUP(Assumptions!$C$9/30,0)),K13*(1-Assumptions!$C$24),0),IF(8=MAX(1,ROUNDUP(Assumptions!$C$9/30,0)),C12*(1-Assumptions!$C$25),0),IF(7=MAX(1,ROUNDUP(Assumptions!$C$9/30,0)),D12*(1-Assumptions!$C$25),0),IF(6=MAX(1,ROUNDUP(Assumptions!$C$9/30,0)),E12*(1-Assumptions!$C$25),0),IF(5=MAX(1,ROUNDUP(Assumptions!$C$9/30,0)),F12*(1-Assumptions!$C$25),0),IF(4=MAX(1,ROUNDUP(Assumptions!$C$9/30,0)),G12*(1-Assumptions!$C$25),0),IF(3=MAX(1,ROUNDUP(Assumptions!$C$9/30,0)),H12*(1-Assumptions!$C$25),0),IF(2=MAX(1,ROUNDUP(Assumptions!$C$9/30,0)),I12*(1-Assumptions!$C$25),0),IF(1=MAX(1,ROUNDUP(Assumptions!$C$9/30,0)),J12*(1-Assumptions!$C$25),0),IF(0=MAX(1,ROUNDUP(Assumptions!$C$9/30,0)),K12*(1-Assumptions!$C$25),0))+IF(8=Assumptions!$C$12,$C$8*(1-Assumptions!$C$26),0)</f>
        <v>12.6639040362899</v>
      </c>
      <c r="L37" s="14">
        <f>SUM(IF(9=MAX(1,ROUNDUP(Assumptions!$C$9/30,0)),C13*(1-Assumptions!$C$24),0),IF(8=MAX(1,ROUNDUP(Assumptions!$C$9/30,0)),D13*(1-Assumptions!$C$24),0),IF(7=MAX(1,ROUNDUP(Assumptions!$C$9/30,0)),E13*(1-Assumptions!$C$24),0),IF(6=MAX(1,ROUNDUP(Assumptions!$C$9/30,0)),F13*(1-Assumptions!$C$24),0),IF(5=MAX(1,ROUNDUP(Assumptions!$C$9/30,0)),G13*(1-Assumptions!$C$24),0),IF(4=MAX(1,ROUNDUP(Assumptions!$C$9/30,0)),H13*(1-Assumptions!$C$24),0),IF(3=MAX(1,ROUNDUP(Assumptions!$C$9/30,0)),I13*(1-Assumptions!$C$24),0),IF(2=MAX(1,ROUNDUP(Assumptions!$C$9/30,0)),J13*(1-Assumptions!$C$24),0),IF(1=MAX(1,ROUNDUP(Assumptions!$C$9/30,0)),K13*(1-Assumptions!$C$24),0),IF(0=MAX(1,ROUNDUP(Assumptions!$C$9/30,0)),L13*(1-Assumptions!$C$24),0),IF(9=MAX(1,ROUNDUP(Assumptions!$C$9/30,0)),C12*(1-Assumptions!$C$25),0),IF(8=MAX(1,ROUNDUP(Assumptions!$C$9/30,0)),D12*(1-Assumptions!$C$25),0),IF(7=MAX(1,ROUNDUP(Assumptions!$C$9/30,0)),E12*(1-Assumptions!$C$25),0),IF(6=MAX(1,ROUNDUP(Assumptions!$C$9/30,0)),F12*(1-Assumptions!$C$25),0),IF(5=MAX(1,ROUNDUP(Assumptions!$C$9/30,0)),G12*(1-Assumptions!$C$25),0),IF(4=MAX(1,ROUNDUP(Assumptions!$C$9/30,0)),H12*(1-Assumptions!$C$25),0),IF(3=MAX(1,ROUNDUP(Assumptions!$C$9/30,0)),I12*(1-Assumptions!$C$25),0),IF(2=MAX(1,ROUNDUP(Assumptions!$C$9/30,0)),J12*(1-Assumptions!$C$25),0),IF(1=MAX(1,ROUNDUP(Assumptions!$C$9/30,0)),K12*(1-Assumptions!$C$25),0),IF(0=MAX(1,ROUNDUP(Assumptions!$C$9/30,0)),L12*(1-Assumptions!$C$25),0))+IF(9=Assumptions!$C$12,$C$8*(1-Assumptions!$C$26),0)</f>
        <v>13.297099013621787</v>
      </c>
      <c r="M37" s="14">
        <f>SUM(IF(10=MAX(1,ROUNDUP(Assumptions!$C$9/30,0)),C13*(1-Assumptions!$C$24),0),IF(9=MAX(1,ROUNDUP(Assumptions!$C$9/30,0)),D13*(1-Assumptions!$C$24),0),IF(8=MAX(1,ROUNDUP(Assumptions!$C$9/30,0)),E13*(1-Assumptions!$C$24),0),IF(7=MAX(1,ROUNDUP(Assumptions!$C$9/30,0)),F13*(1-Assumptions!$C$24),0),IF(6=MAX(1,ROUNDUP(Assumptions!$C$9/30,0)),G13*(1-Assumptions!$C$24),0),IF(5=MAX(1,ROUNDUP(Assumptions!$C$9/30,0)),H13*(1-Assumptions!$C$24),0),IF(4=MAX(1,ROUNDUP(Assumptions!$C$9/30,0)),I13*(1-Assumptions!$C$24),0),IF(3=MAX(1,ROUNDUP(Assumptions!$C$9/30,0)),J13*(1-Assumptions!$C$24),0),IF(2=MAX(1,ROUNDUP(Assumptions!$C$9/30,0)),K13*(1-Assumptions!$C$24),0),IF(1=MAX(1,ROUNDUP(Assumptions!$C$9/30,0)),L13*(1-Assumptions!$C$24),0),IF(0=MAX(1,ROUNDUP(Assumptions!$C$9/30,0)),M13*(1-Assumptions!$C$24),0),IF(10=MAX(1,ROUNDUP(Assumptions!$C$9/30,0)),C12*(1-Assumptions!$C$25),0),IF(9=MAX(1,ROUNDUP(Assumptions!$C$9/30,0)),D12*(1-Assumptions!$C$25),0),IF(8=MAX(1,ROUNDUP(Assumptions!$C$9/30,0)),E12*(1-Assumptions!$C$25),0),IF(7=MAX(1,ROUNDUP(Assumptions!$C$9/30,0)),F12*(1-Assumptions!$C$25),0),IF(6=MAX(1,ROUNDUP(Assumptions!$C$9/30,0)),G12*(1-Assumptions!$C$25),0),IF(5=MAX(1,ROUNDUP(Assumptions!$C$9/30,0)),H12*(1-Assumptions!$C$25),0),IF(4=MAX(1,ROUNDUP(Assumptions!$C$9/30,0)),I12*(1-Assumptions!$C$25),0),IF(3=MAX(1,ROUNDUP(Assumptions!$C$9/30,0)),J12*(1-Assumptions!$C$25),0),IF(2=MAX(1,ROUNDUP(Assumptions!$C$9/30,0)),K12*(1-Assumptions!$C$25),0),IF(1=MAX(1,ROUNDUP(Assumptions!$C$9/30,0)),L12*(1-Assumptions!$C$25),0),IF(0=MAX(1,ROUNDUP(Assumptions!$C$9/30,0)),M12*(1-Assumptions!$C$25),0))+IF(10=Assumptions!$C$12,$C$8*(1-Assumptions!$C$26),0)</f>
        <v>13.961953945446339</v>
      </c>
      <c r="N37" s="14">
        <f>SUM(IF(11=MAX(1,ROUNDUP(Assumptions!$C$9/30,0)),C13*(1-Assumptions!$C$24),0),IF(10=MAX(1,ROUNDUP(Assumptions!$C$9/30,0)),D13*(1-Assumptions!$C$24),0),IF(9=MAX(1,ROUNDUP(Assumptions!$C$9/30,0)),E13*(1-Assumptions!$C$24),0),IF(8=MAX(1,ROUNDUP(Assumptions!$C$9/30,0)),F13*(1-Assumptions!$C$24),0),IF(7=MAX(1,ROUNDUP(Assumptions!$C$9/30,0)),G13*(1-Assumptions!$C$24),0),IF(6=MAX(1,ROUNDUP(Assumptions!$C$9/30,0)),H13*(1-Assumptions!$C$24),0),IF(5=MAX(1,ROUNDUP(Assumptions!$C$9/30,0)),I13*(1-Assumptions!$C$24),0),IF(4=MAX(1,ROUNDUP(Assumptions!$C$9/30,0)),J13*(1-Assumptions!$C$24),0),IF(3=MAX(1,ROUNDUP(Assumptions!$C$9/30,0)),K13*(1-Assumptions!$C$24),0),IF(2=MAX(1,ROUNDUP(Assumptions!$C$9/30,0)),L13*(1-Assumptions!$C$24),0),IF(1=MAX(1,ROUNDUP(Assumptions!$C$9/30,0)),M13*(1-Assumptions!$C$24),0),IF(0=MAX(1,ROUNDUP(Assumptions!$C$9/30,0)),N13*(1-Assumptions!$C$24),0),IF(11=MAX(1,ROUNDUP(Assumptions!$C$9/30,0)),C12*(1-Assumptions!$C$25),0),IF(10=MAX(1,ROUNDUP(Assumptions!$C$9/30,0)),D12*(1-Assumptions!$C$25),0),IF(9=MAX(1,ROUNDUP(Assumptions!$C$9/30,0)),E12*(1-Assumptions!$C$25),0),IF(8=MAX(1,ROUNDUP(Assumptions!$C$9/30,0)),F12*(1-Assumptions!$C$25),0),IF(7=MAX(1,ROUNDUP(Assumptions!$C$9/30,0)),G12*(1-Assumptions!$C$25),0),IF(6=MAX(1,ROUNDUP(Assumptions!$C$9/30,0)),H12*(1-Assumptions!$C$25),0),IF(5=MAX(1,ROUNDUP(Assumptions!$C$9/30,0)),I12*(1-Assumptions!$C$25),0),IF(4=MAX(1,ROUNDUP(Assumptions!$C$9/30,0)),J12*(1-Assumptions!$C$25),0),IF(3=MAX(1,ROUNDUP(Assumptions!$C$9/30,0)),K12*(1-Assumptions!$C$25),0),IF(2=MAX(1,ROUNDUP(Assumptions!$C$9/30,0)),L12*(1-Assumptions!$C$25),0),IF(1=MAX(1,ROUNDUP(Assumptions!$C$9/30,0)),M12*(1-Assumptions!$C$25),0),IF(0=MAX(1,ROUNDUP(Assumptions!$C$9/30,0)),N12*(1-Assumptions!$C$25),0))+IF(11=Assumptions!$C$12,$C$8*(1-Assumptions!$C$26),0)</f>
        <v>14.660051641134711</v>
      </c>
      <c r="O37" s="14">
        <f>SUM(IF(12=MAX(1,ROUNDUP(Assumptions!$C$9/30,0)),C13*(1-Assumptions!$C$24),0),IF(11=MAX(1,ROUNDUP(Assumptions!$C$9/30,0)),D13*(1-Assumptions!$C$24),0),IF(10=MAX(1,ROUNDUP(Assumptions!$C$9/30,0)),E13*(1-Assumptions!$C$24),0),IF(9=MAX(1,ROUNDUP(Assumptions!$C$9/30,0)),F13*(1-Assumptions!$C$24),0),IF(8=MAX(1,ROUNDUP(Assumptions!$C$9/30,0)),G13*(1-Assumptions!$C$24),0),IF(7=MAX(1,ROUNDUP(Assumptions!$C$9/30,0)),H13*(1-Assumptions!$C$24),0),IF(6=MAX(1,ROUNDUP(Assumptions!$C$9/30,0)),I13*(1-Assumptions!$C$24),0),IF(5=MAX(1,ROUNDUP(Assumptions!$C$9/30,0)),J13*(1-Assumptions!$C$24),0),IF(4=MAX(1,ROUNDUP(Assumptions!$C$9/30,0)),K13*(1-Assumptions!$C$24),0),IF(3=MAX(1,ROUNDUP(Assumptions!$C$9/30,0)),L13*(1-Assumptions!$C$24),0),IF(2=MAX(1,ROUNDUP(Assumptions!$C$9/30,0)),M13*(1-Assumptions!$C$24),0),IF(1=MAX(1,ROUNDUP(Assumptions!$C$9/30,0)),N13*(1-Assumptions!$C$24),0),IF(0=MAX(1,ROUNDUP(Assumptions!$C$9/30,0)),O13*(1-Assumptions!$C$24),0),IF(12=MAX(1,ROUNDUP(Assumptions!$C$9/30,0)),C12*(1-Assumptions!$C$25),0),IF(11=MAX(1,ROUNDUP(Assumptions!$C$9/30,0)),D12*(1-Assumptions!$C$25),0),IF(10=MAX(1,ROUNDUP(Assumptions!$C$9/30,0)),E12*(1-Assumptions!$C$25),0),IF(9=MAX(1,ROUNDUP(Assumptions!$C$9/30,0)),F12*(1-Assumptions!$C$25),0),IF(8=MAX(1,ROUNDUP(Assumptions!$C$9/30,0)),G12*(1-Assumptions!$C$25),0),IF(7=MAX(1,ROUNDUP(Assumptions!$C$9/30,0)),H12*(1-Assumptions!$C$25),0),IF(6=MAX(1,ROUNDUP(Assumptions!$C$9/30,0)),I12*(1-Assumptions!$C$25),0),IF(5=MAX(1,ROUNDUP(Assumptions!$C$9/30,0)),J12*(1-Assumptions!$C$25),0),IF(4=MAX(1,ROUNDUP(Assumptions!$C$9/30,0)),K12*(1-Assumptions!$C$25),0),IF(3=MAX(1,ROUNDUP(Assumptions!$C$9/30,0)),L12*(1-Assumptions!$C$25),0),IF(2=MAX(1,ROUNDUP(Assumptions!$C$9/30,0)),M12*(1-Assumptions!$C$25),0),IF(1=MAX(1,ROUNDUP(Assumptions!$C$9/30,0)),N12*(1-Assumptions!$C$25),0),IF(0=MAX(1,ROUNDUP(Assumptions!$C$9/30,0)),O12*(1-Assumptions!$C$25),0))+IF(12=Assumptions!$C$12,$C$8*(1-Assumptions!$C$26),0)</f>
        <v>15.393054223058394</v>
      </c>
      <c r="P37" s="14">
        <f>SUM(IF(13=MAX(1,ROUNDUP(Assumptions!$C$9/30,0)),C13*(1-Assumptions!$C$24),0),IF(12=MAX(1,ROUNDUP(Assumptions!$C$9/30,0)),D13*(1-Assumptions!$C$24),0),IF(11=MAX(1,ROUNDUP(Assumptions!$C$9/30,0)),E13*(1-Assumptions!$C$24),0),IF(10=MAX(1,ROUNDUP(Assumptions!$C$9/30,0)),F13*(1-Assumptions!$C$24),0),IF(9=MAX(1,ROUNDUP(Assumptions!$C$9/30,0)),G13*(1-Assumptions!$C$24),0),IF(8=MAX(1,ROUNDUP(Assumptions!$C$9/30,0)),H13*(1-Assumptions!$C$24),0),IF(7=MAX(1,ROUNDUP(Assumptions!$C$9/30,0)),I13*(1-Assumptions!$C$24),0),IF(6=MAX(1,ROUNDUP(Assumptions!$C$9/30,0)),J13*(1-Assumptions!$C$24),0),IF(5=MAX(1,ROUNDUP(Assumptions!$C$9/30,0)),K13*(1-Assumptions!$C$24),0),IF(4=MAX(1,ROUNDUP(Assumptions!$C$9/30,0)),L13*(1-Assumptions!$C$24),0),IF(3=MAX(1,ROUNDUP(Assumptions!$C$9/30,0)),M13*(1-Assumptions!$C$24),0),IF(2=MAX(1,ROUNDUP(Assumptions!$C$9/30,0)),N13*(1-Assumptions!$C$24),0),IF(1=MAX(1,ROUNDUP(Assumptions!$C$9/30,0)),O13*(1-Assumptions!$C$24),0),IF(0=MAX(1,ROUNDUP(Assumptions!$C$9/30,0)),P13*(1-Assumptions!$C$24),0),IF(13=MAX(1,ROUNDUP(Assumptions!$C$9/30,0)),C12*(1-Assumptions!$C$25),0),IF(12=MAX(1,ROUNDUP(Assumptions!$C$9/30,0)),D12*(1-Assumptions!$C$25),0),IF(11=MAX(1,ROUNDUP(Assumptions!$C$9/30,0)),E12*(1-Assumptions!$C$25),0),IF(10=MAX(1,ROUNDUP(Assumptions!$C$9/30,0)),F12*(1-Assumptions!$C$25),0),IF(9=MAX(1,ROUNDUP(Assumptions!$C$9/30,0)),G12*(1-Assumptions!$C$25),0),IF(8=MAX(1,ROUNDUP(Assumptions!$C$9/30,0)),H12*(1-Assumptions!$C$25),0),IF(7=MAX(1,ROUNDUP(Assumptions!$C$9/30,0)),I12*(1-Assumptions!$C$25),0),IF(6=MAX(1,ROUNDUP(Assumptions!$C$9/30,0)),J12*(1-Assumptions!$C$25),0),IF(5=MAX(1,ROUNDUP(Assumptions!$C$9/30,0)),K12*(1-Assumptions!$C$25),0),IF(4=MAX(1,ROUNDUP(Assumptions!$C$9/30,0)),L12*(1-Assumptions!$C$25),0),IF(3=MAX(1,ROUNDUP(Assumptions!$C$9/30,0)),M12*(1-Assumptions!$C$25),0),IF(2=MAX(1,ROUNDUP(Assumptions!$C$9/30,0)),N12*(1-Assumptions!$C$25),0),IF(1=MAX(1,ROUNDUP(Assumptions!$C$9/30,0)),O12*(1-Assumptions!$C$25),0),IF(0=MAX(1,ROUNDUP(Assumptions!$C$9/30,0)),P12*(1-Assumptions!$C$25),0))+IF(13=Assumptions!$C$12,$C$8*(1-Assumptions!$C$26),0)</f>
        <v>16.162706934200138</v>
      </c>
      <c r="Q37" s="14">
        <f>SUM(IF(14=MAX(1,ROUNDUP(Assumptions!$C$9/30,0)),C13*(1-Assumptions!$C$24),0),IF(13=MAX(1,ROUNDUP(Assumptions!$C$9/30,0)),D13*(1-Assumptions!$C$24),0),IF(12=MAX(1,ROUNDUP(Assumptions!$C$9/30,0)),E13*(1-Assumptions!$C$24),0),IF(11=MAX(1,ROUNDUP(Assumptions!$C$9/30,0)),F13*(1-Assumptions!$C$24),0),IF(10=MAX(1,ROUNDUP(Assumptions!$C$9/30,0)),G13*(1-Assumptions!$C$24),0),IF(9=MAX(1,ROUNDUP(Assumptions!$C$9/30,0)),H13*(1-Assumptions!$C$24),0),IF(8=MAX(1,ROUNDUP(Assumptions!$C$9/30,0)),I13*(1-Assumptions!$C$24),0),IF(7=MAX(1,ROUNDUP(Assumptions!$C$9/30,0)),J13*(1-Assumptions!$C$24),0),IF(6=MAX(1,ROUNDUP(Assumptions!$C$9/30,0)),K13*(1-Assumptions!$C$24),0),IF(5=MAX(1,ROUNDUP(Assumptions!$C$9/30,0)),L13*(1-Assumptions!$C$24),0),IF(4=MAX(1,ROUNDUP(Assumptions!$C$9/30,0)),M13*(1-Assumptions!$C$24),0),IF(3=MAX(1,ROUNDUP(Assumptions!$C$9/30,0)),N13*(1-Assumptions!$C$24),0),IF(2=MAX(1,ROUNDUP(Assumptions!$C$9/30,0)),O13*(1-Assumptions!$C$24),0),IF(1=MAX(1,ROUNDUP(Assumptions!$C$9/30,0)),P13*(1-Assumptions!$C$24),0),IF(0=MAX(1,ROUNDUP(Assumptions!$C$9/30,0)),Q13*(1-Assumptions!$C$24),0),IF(14=MAX(1,ROUNDUP(Assumptions!$C$9/30,0)),C12*(1-Assumptions!$C$25),0),IF(13=MAX(1,ROUNDUP(Assumptions!$C$9/30,0)),D12*(1-Assumptions!$C$25),0),IF(12=MAX(1,ROUNDUP(Assumptions!$C$9/30,0)),E12*(1-Assumptions!$C$25),0),IF(11=MAX(1,ROUNDUP(Assumptions!$C$9/30,0)),F12*(1-Assumptions!$C$25),0),IF(10=MAX(1,ROUNDUP(Assumptions!$C$9/30,0)),G12*(1-Assumptions!$C$25),0),IF(9=MAX(1,ROUNDUP(Assumptions!$C$9/30,0)),H12*(1-Assumptions!$C$25),0),IF(8=MAX(1,ROUNDUP(Assumptions!$C$9/30,0)),I12*(1-Assumptions!$C$25),0),IF(7=MAX(1,ROUNDUP(Assumptions!$C$9/30,0)),J12*(1-Assumptions!$C$25),0),IF(6=MAX(1,ROUNDUP(Assumptions!$C$9/30,0)),K12*(1-Assumptions!$C$25),0),IF(5=MAX(1,ROUNDUP(Assumptions!$C$9/30,0)),L12*(1-Assumptions!$C$25),0),IF(4=MAX(1,ROUNDUP(Assumptions!$C$9/30,0)),M12*(1-Assumptions!$C$25),0),IF(3=MAX(1,ROUNDUP(Assumptions!$C$9/30,0)),N12*(1-Assumptions!$C$25),0),IF(2=MAX(1,ROUNDUP(Assumptions!$C$9/30,0)),O12*(1-Assumptions!$C$25),0),IF(1=MAX(1,ROUNDUP(Assumptions!$C$9/30,0)),P12*(1-Assumptions!$C$25),0),IF(0=MAX(1,ROUNDUP(Assumptions!$C$9/30,0)),Q12*(1-Assumptions!$C$25),0))+IF(14=Assumptions!$C$12,$C$8*(1-Assumptions!$C$26),0)</f>
        <v>16.970842280909203</v>
      </c>
      <c r="R37" s="14">
        <f>SUM(IF(15=MAX(1,ROUNDUP(Assumptions!$C$9/30,0)),C13*(1-Assumptions!$C$24),0),IF(14=MAX(1,ROUNDUP(Assumptions!$C$9/30,0)),D13*(1-Assumptions!$C$24),0),IF(13=MAX(1,ROUNDUP(Assumptions!$C$9/30,0)),E13*(1-Assumptions!$C$24),0),IF(12=MAX(1,ROUNDUP(Assumptions!$C$9/30,0)),F13*(1-Assumptions!$C$24),0),IF(11=MAX(1,ROUNDUP(Assumptions!$C$9/30,0)),G13*(1-Assumptions!$C$24),0),IF(10=MAX(1,ROUNDUP(Assumptions!$C$9/30,0)),H13*(1-Assumptions!$C$24),0),IF(9=MAX(1,ROUNDUP(Assumptions!$C$9/30,0)),I13*(1-Assumptions!$C$24),0),IF(8=MAX(1,ROUNDUP(Assumptions!$C$9/30,0)),J13*(1-Assumptions!$C$24),0),IF(7=MAX(1,ROUNDUP(Assumptions!$C$9/30,0)),K13*(1-Assumptions!$C$24),0),IF(6=MAX(1,ROUNDUP(Assumptions!$C$9/30,0)),L13*(1-Assumptions!$C$24),0),IF(5=MAX(1,ROUNDUP(Assumptions!$C$9/30,0)),M13*(1-Assumptions!$C$24),0),IF(4=MAX(1,ROUNDUP(Assumptions!$C$9/30,0)),N13*(1-Assumptions!$C$24),0),IF(3=MAX(1,ROUNDUP(Assumptions!$C$9/30,0)),O13*(1-Assumptions!$C$24),0),IF(2=MAX(1,ROUNDUP(Assumptions!$C$9/30,0)),P13*(1-Assumptions!$C$24),0),IF(1=MAX(1,ROUNDUP(Assumptions!$C$9/30,0)),Q13*(1-Assumptions!$C$24),0),IF(0=MAX(1,ROUNDUP(Assumptions!$C$9/30,0)),R13*(1-Assumptions!$C$24),0),IF(15=MAX(1,ROUNDUP(Assumptions!$C$9/30,0)),C12*(1-Assumptions!$C$25),0),IF(14=MAX(1,ROUNDUP(Assumptions!$C$9/30,0)),D12*(1-Assumptions!$C$25),0),IF(13=MAX(1,ROUNDUP(Assumptions!$C$9/30,0)),E12*(1-Assumptions!$C$25),0),IF(12=MAX(1,ROUNDUP(Assumptions!$C$9/30,0)),F12*(1-Assumptions!$C$25),0),IF(11=MAX(1,ROUNDUP(Assumptions!$C$9/30,0)),G12*(1-Assumptions!$C$25),0),IF(10=MAX(1,ROUNDUP(Assumptions!$C$9/30,0)),H12*(1-Assumptions!$C$25),0),IF(9=MAX(1,ROUNDUP(Assumptions!$C$9/30,0)),I12*(1-Assumptions!$C$25),0),IF(8=MAX(1,ROUNDUP(Assumptions!$C$9/30,0)),J12*(1-Assumptions!$C$25),0),IF(7=MAX(1,ROUNDUP(Assumptions!$C$9/30,0)),K12*(1-Assumptions!$C$25),0),IF(6=MAX(1,ROUNDUP(Assumptions!$C$9/30,0)),L12*(1-Assumptions!$C$25),0),IF(5=MAX(1,ROUNDUP(Assumptions!$C$9/30,0)),M12*(1-Assumptions!$C$25),0),IF(4=MAX(1,ROUNDUP(Assumptions!$C$9/30,0)),N12*(1-Assumptions!$C$25),0),IF(3=MAX(1,ROUNDUP(Assumptions!$C$9/30,0)),O12*(1-Assumptions!$C$25),0),IF(2=MAX(1,ROUNDUP(Assumptions!$C$9/30,0)),P12*(1-Assumptions!$C$25),0),IF(1=MAX(1,ROUNDUP(Assumptions!$C$9/30,0)),Q12*(1-Assumptions!$C$25),0),IF(0=MAX(1,ROUNDUP(Assumptions!$C$9/30,0)),R12*(1-Assumptions!$C$25),0))+IF(15=Assumptions!$C$12,$C$8*(1-Assumptions!$C$26),0)</f>
        <v>17.819384394954582</v>
      </c>
      <c r="S37" s="14">
        <f>SUM(IF(16=MAX(1,ROUNDUP(Assumptions!$C$9/30,0)),C13*(1-Assumptions!$C$24),0),IF(15=MAX(1,ROUNDUP(Assumptions!$C$9/30,0)),D13*(1-Assumptions!$C$24),0),IF(14=MAX(1,ROUNDUP(Assumptions!$C$9/30,0)),E13*(1-Assumptions!$C$24),0),IF(13=MAX(1,ROUNDUP(Assumptions!$C$9/30,0)),F13*(1-Assumptions!$C$24),0),IF(12=MAX(1,ROUNDUP(Assumptions!$C$9/30,0)),G13*(1-Assumptions!$C$24),0),IF(11=MAX(1,ROUNDUP(Assumptions!$C$9/30,0)),H13*(1-Assumptions!$C$24),0),IF(10=MAX(1,ROUNDUP(Assumptions!$C$9/30,0)),I13*(1-Assumptions!$C$24),0),IF(9=MAX(1,ROUNDUP(Assumptions!$C$9/30,0)),J13*(1-Assumptions!$C$24),0),IF(8=MAX(1,ROUNDUP(Assumptions!$C$9/30,0)),K13*(1-Assumptions!$C$24),0),IF(7=MAX(1,ROUNDUP(Assumptions!$C$9/30,0)),L13*(1-Assumptions!$C$24),0),IF(6=MAX(1,ROUNDUP(Assumptions!$C$9/30,0)),M13*(1-Assumptions!$C$24),0),IF(5=MAX(1,ROUNDUP(Assumptions!$C$9/30,0)),N13*(1-Assumptions!$C$24),0),IF(4=MAX(1,ROUNDUP(Assumptions!$C$9/30,0)),O13*(1-Assumptions!$C$24),0),IF(3=MAX(1,ROUNDUP(Assumptions!$C$9/30,0)),P13*(1-Assumptions!$C$24),0),IF(2=MAX(1,ROUNDUP(Assumptions!$C$9/30,0)),Q13*(1-Assumptions!$C$24),0),IF(1=MAX(1,ROUNDUP(Assumptions!$C$9/30,0)),R13*(1-Assumptions!$C$24),0),IF(0=MAX(1,ROUNDUP(Assumptions!$C$9/30,0)),S13*(1-Assumptions!$C$24),0),IF(16=MAX(1,ROUNDUP(Assumptions!$C$9/30,0)),C12*(1-Assumptions!$C$25),0),IF(15=MAX(1,ROUNDUP(Assumptions!$C$9/30,0)),D12*(1-Assumptions!$C$25),0),IF(14=MAX(1,ROUNDUP(Assumptions!$C$9/30,0)),E12*(1-Assumptions!$C$25),0),IF(13=MAX(1,ROUNDUP(Assumptions!$C$9/30,0)),F12*(1-Assumptions!$C$25),0),IF(12=MAX(1,ROUNDUP(Assumptions!$C$9/30,0)),G12*(1-Assumptions!$C$25),0),IF(11=MAX(1,ROUNDUP(Assumptions!$C$9/30,0)),H12*(1-Assumptions!$C$25),0),IF(10=MAX(1,ROUNDUP(Assumptions!$C$9/30,0)),I12*(1-Assumptions!$C$25),0),IF(9=MAX(1,ROUNDUP(Assumptions!$C$9/30,0)),J12*(1-Assumptions!$C$25),0),IF(8=MAX(1,ROUNDUP(Assumptions!$C$9/30,0)),K12*(1-Assumptions!$C$25),0),IF(7=MAX(1,ROUNDUP(Assumptions!$C$9/30,0)),L12*(1-Assumptions!$C$25),0),IF(6=MAX(1,ROUNDUP(Assumptions!$C$9/30,0)),M12*(1-Assumptions!$C$25),0),IF(5=MAX(1,ROUNDUP(Assumptions!$C$9/30,0)),N12*(1-Assumptions!$C$25),0),IF(4=MAX(1,ROUNDUP(Assumptions!$C$9/30,0)),O12*(1-Assumptions!$C$25),0),IF(3=MAX(1,ROUNDUP(Assumptions!$C$9/30,0)),P12*(1-Assumptions!$C$25),0),IF(2=MAX(1,ROUNDUP(Assumptions!$C$9/30,0)),Q12*(1-Assumptions!$C$25),0),IF(1=MAX(1,ROUNDUP(Assumptions!$C$9/30,0)),R12*(1-Assumptions!$C$25),0),IF(0=MAX(1,ROUNDUP(Assumptions!$C$9/30,0)),S12*(1-Assumptions!$C$25),0))+IF(16=Assumptions!$C$12,$C$8*(1-Assumptions!$C$26),0)</f>
        <v>18.710353614702306</v>
      </c>
      <c r="T37" s="14">
        <f>SUM(IF(17=MAX(1,ROUNDUP(Assumptions!$C$9/30,0)),C13*(1-Assumptions!$C$24),0),IF(16=MAX(1,ROUNDUP(Assumptions!$C$9/30,0)),D13*(1-Assumptions!$C$24),0),IF(15=MAX(1,ROUNDUP(Assumptions!$C$9/30,0)),E13*(1-Assumptions!$C$24),0),IF(14=MAX(1,ROUNDUP(Assumptions!$C$9/30,0)),F13*(1-Assumptions!$C$24),0),IF(13=MAX(1,ROUNDUP(Assumptions!$C$9/30,0)),G13*(1-Assumptions!$C$24),0),IF(12=MAX(1,ROUNDUP(Assumptions!$C$9/30,0)),H13*(1-Assumptions!$C$24),0),IF(11=MAX(1,ROUNDUP(Assumptions!$C$9/30,0)),I13*(1-Assumptions!$C$24),0),IF(10=MAX(1,ROUNDUP(Assumptions!$C$9/30,0)),J13*(1-Assumptions!$C$24),0),IF(9=MAX(1,ROUNDUP(Assumptions!$C$9/30,0)),K13*(1-Assumptions!$C$24),0),IF(8=MAX(1,ROUNDUP(Assumptions!$C$9/30,0)),L13*(1-Assumptions!$C$24),0),IF(7=MAX(1,ROUNDUP(Assumptions!$C$9/30,0)),M13*(1-Assumptions!$C$24),0),IF(6=MAX(1,ROUNDUP(Assumptions!$C$9/30,0)),N13*(1-Assumptions!$C$24),0),IF(5=MAX(1,ROUNDUP(Assumptions!$C$9/30,0)),O13*(1-Assumptions!$C$24),0),IF(4=MAX(1,ROUNDUP(Assumptions!$C$9/30,0)),P13*(1-Assumptions!$C$24),0),IF(3=MAX(1,ROUNDUP(Assumptions!$C$9/30,0)),Q13*(1-Assumptions!$C$24),0),IF(2=MAX(1,ROUNDUP(Assumptions!$C$9/30,0)),R13*(1-Assumptions!$C$24),0),IF(1=MAX(1,ROUNDUP(Assumptions!$C$9/30,0)),S13*(1-Assumptions!$C$24),0),IF(0=MAX(1,ROUNDUP(Assumptions!$C$9/30,0)),T13*(1-Assumptions!$C$24),0),IF(17=MAX(1,ROUNDUP(Assumptions!$C$9/30,0)),C12*(1-Assumptions!$C$25),0),IF(16=MAX(1,ROUNDUP(Assumptions!$C$9/30,0)),D12*(1-Assumptions!$C$25),0),IF(15=MAX(1,ROUNDUP(Assumptions!$C$9/30,0)),E12*(1-Assumptions!$C$25),0),IF(14=MAX(1,ROUNDUP(Assumptions!$C$9/30,0)),F12*(1-Assumptions!$C$25),0),IF(13=MAX(1,ROUNDUP(Assumptions!$C$9/30,0)),G12*(1-Assumptions!$C$25),0),IF(12=MAX(1,ROUNDUP(Assumptions!$C$9/30,0)),H12*(1-Assumptions!$C$25),0),IF(11=MAX(1,ROUNDUP(Assumptions!$C$9/30,0)),I12*(1-Assumptions!$C$25),0),IF(10=MAX(1,ROUNDUP(Assumptions!$C$9/30,0)),J12*(1-Assumptions!$C$25),0),IF(9=MAX(1,ROUNDUP(Assumptions!$C$9/30,0)),K12*(1-Assumptions!$C$25),0),IF(8=MAX(1,ROUNDUP(Assumptions!$C$9/30,0)),L12*(1-Assumptions!$C$25),0),IF(7=MAX(1,ROUNDUP(Assumptions!$C$9/30,0)),M12*(1-Assumptions!$C$25),0),IF(6=MAX(1,ROUNDUP(Assumptions!$C$9/30,0)),N12*(1-Assumptions!$C$25),0),IF(5=MAX(1,ROUNDUP(Assumptions!$C$9/30,0)),O12*(1-Assumptions!$C$25),0),IF(4=MAX(1,ROUNDUP(Assumptions!$C$9/30,0)),P12*(1-Assumptions!$C$25),0),IF(3=MAX(1,ROUNDUP(Assumptions!$C$9/30,0)),Q12*(1-Assumptions!$C$25),0),IF(2=MAX(1,ROUNDUP(Assumptions!$C$9/30,0)),R12*(1-Assumptions!$C$25),0),IF(1=MAX(1,ROUNDUP(Assumptions!$C$9/30,0)),S12*(1-Assumptions!$C$25),0),IF(0=MAX(1,ROUNDUP(Assumptions!$C$9/30,0)),T12*(1-Assumptions!$C$25),0))+IF(17=Assumptions!$C$12,$C$8*(1-Assumptions!$C$26),0)</f>
        <v>19.645871295437423</v>
      </c>
      <c r="U37" s="14">
        <f>SUM(IF(18=MAX(1,ROUNDUP(Assumptions!$C$9/30,0)),C13*(1-Assumptions!$C$24),0),IF(17=MAX(1,ROUNDUP(Assumptions!$C$9/30,0)),D13*(1-Assumptions!$C$24),0),IF(16=MAX(1,ROUNDUP(Assumptions!$C$9/30,0)),E13*(1-Assumptions!$C$24),0),IF(15=MAX(1,ROUNDUP(Assumptions!$C$9/30,0)),F13*(1-Assumptions!$C$24),0),IF(14=MAX(1,ROUNDUP(Assumptions!$C$9/30,0)),G13*(1-Assumptions!$C$24),0),IF(13=MAX(1,ROUNDUP(Assumptions!$C$9/30,0)),H13*(1-Assumptions!$C$24),0),IF(12=MAX(1,ROUNDUP(Assumptions!$C$9/30,0)),I13*(1-Assumptions!$C$24),0),IF(11=MAX(1,ROUNDUP(Assumptions!$C$9/30,0)),J13*(1-Assumptions!$C$24),0),IF(10=MAX(1,ROUNDUP(Assumptions!$C$9/30,0)),K13*(1-Assumptions!$C$24),0),IF(9=MAX(1,ROUNDUP(Assumptions!$C$9/30,0)),L13*(1-Assumptions!$C$24),0),IF(8=MAX(1,ROUNDUP(Assumptions!$C$9/30,0)),M13*(1-Assumptions!$C$24),0),IF(7=MAX(1,ROUNDUP(Assumptions!$C$9/30,0)),N13*(1-Assumptions!$C$24),0),IF(6=MAX(1,ROUNDUP(Assumptions!$C$9/30,0)),O13*(1-Assumptions!$C$24),0),IF(5=MAX(1,ROUNDUP(Assumptions!$C$9/30,0)),P13*(1-Assumptions!$C$24),0),IF(4=MAX(1,ROUNDUP(Assumptions!$C$9/30,0)),Q13*(1-Assumptions!$C$24),0),IF(3=MAX(1,ROUNDUP(Assumptions!$C$9/30,0)),R13*(1-Assumptions!$C$24),0),IF(2=MAX(1,ROUNDUP(Assumptions!$C$9/30,0)),S13*(1-Assumptions!$C$24),0),IF(1=MAX(1,ROUNDUP(Assumptions!$C$9/30,0)),T13*(1-Assumptions!$C$24),0),IF(0=MAX(1,ROUNDUP(Assumptions!$C$9/30,0)),U13*(1-Assumptions!$C$24),0),IF(18=MAX(1,ROUNDUP(Assumptions!$C$9/30,0)),C12*(1-Assumptions!$C$25),0),IF(17=MAX(1,ROUNDUP(Assumptions!$C$9/30,0)),D12*(1-Assumptions!$C$25),0),IF(16=MAX(1,ROUNDUP(Assumptions!$C$9/30,0)),E12*(1-Assumptions!$C$25),0),IF(15=MAX(1,ROUNDUP(Assumptions!$C$9/30,0)),F12*(1-Assumptions!$C$25),0),IF(14=MAX(1,ROUNDUP(Assumptions!$C$9/30,0)),G12*(1-Assumptions!$C$25),0),IF(13=MAX(1,ROUNDUP(Assumptions!$C$9/30,0)),H12*(1-Assumptions!$C$25),0),IF(12=MAX(1,ROUNDUP(Assumptions!$C$9/30,0)),I12*(1-Assumptions!$C$25),0),IF(11=MAX(1,ROUNDUP(Assumptions!$C$9/30,0)),J12*(1-Assumptions!$C$25),0),IF(10=MAX(1,ROUNDUP(Assumptions!$C$9/30,0)),K12*(1-Assumptions!$C$25),0),IF(9=MAX(1,ROUNDUP(Assumptions!$C$9/30,0)),L12*(1-Assumptions!$C$25),0),IF(8=MAX(1,ROUNDUP(Assumptions!$C$9/30,0)),M12*(1-Assumptions!$C$25),0),IF(7=MAX(1,ROUNDUP(Assumptions!$C$9/30,0)),N12*(1-Assumptions!$C$25),0),IF(6=MAX(1,ROUNDUP(Assumptions!$C$9/30,0)),O12*(1-Assumptions!$C$25),0),IF(5=MAX(1,ROUNDUP(Assumptions!$C$9/30,0)),P12*(1-Assumptions!$C$25),0),IF(4=MAX(1,ROUNDUP(Assumptions!$C$9/30,0)),Q12*(1-Assumptions!$C$25),0),IF(3=MAX(1,ROUNDUP(Assumptions!$C$9/30,0)),R12*(1-Assumptions!$C$25),0),IF(2=MAX(1,ROUNDUP(Assumptions!$C$9/30,0)),S12*(1-Assumptions!$C$25),0),IF(1=MAX(1,ROUNDUP(Assumptions!$C$9/30,0)),T12*(1-Assumptions!$C$25),0),IF(0=MAX(1,ROUNDUP(Assumptions!$C$9/30,0)),U12*(1-Assumptions!$C$25),0))+IF(18=Assumptions!$C$12,$C$8*(1-Assumptions!$C$26),0)</f>
        <v>20.628164860209299</v>
      </c>
      <c r="V37" s="14">
        <f>SUM(IF(19=MAX(1,ROUNDUP(Assumptions!$C$9/30,0)),C13*(1-Assumptions!$C$24),0),IF(18=MAX(1,ROUNDUP(Assumptions!$C$9/30,0)),D13*(1-Assumptions!$C$24),0),IF(17=MAX(1,ROUNDUP(Assumptions!$C$9/30,0)),E13*(1-Assumptions!$C$24),0),IF(16=MAX(1,ROUNDUP(Assumptions!$C$9/30,0)),F13*(1-Assumptions!$C$24),0),IF(15=MAX(1,ROUNDUP(Assumptions!$C$9/30,0)),G13*(1-Assumptions!$C$24),0),IF(14=MAX(1,ROUNDUP(Assumptions!$C$9/30,0)),H13*(1-Assumptions!$C$24),0),IF(13=MAX(1,ROUNDUP(Assumptions!$C$9/30,0)),I13*(1-Assumptions!$C$24),0),IF(12=MAX(1,ROUNDUP(Assumptions!$C$9/30,0)),J13*(1-Assumptions!$C$24),0),IF(11=MAX(1,ROUNDUP(Assumptions!$C$9/30,0)),K13*(1-Assumptions!$C$24),0),IF(10=MAX(1,ROUNDUP(Assumptions!$C$9/30,0)),L13*(1-Assumptions!$C$24),0),IF(9=MAX(1,ROUNDUP(Assumptions!$C$9/30,0)),M13*(1-Assumptions!$C$24),0),IF(8=MAX(1,ROUNDUP(Assumptions!$C$9/30,0)),N13*(1-Assumptions!$C$24),0),IF(7=MAX(1,ROUNDUP(Assumptions!$C$9/30,0)),O13*(1-Assumptions!$C$24),0),IF(6=MAX(1,ROUNDUP(Assumptions!$C$9/30,0)),P13*(1-Assumptions!$C$24),0),IF(5=MAX(1,ROUNDUP(Assumptions!$C$9/30,0)),Q13*(1-Assumptions!$C$24),0),IF(4=MAX(1,ROUNDUP(Assumptions!$C$9/30,0)),R13*(1-Assumptions!$C$24),0),IF(3=MAX(1,ROUNDUP(Assumptions!$C$9/30,0)),S13*(1-Assumptions!$C$24),0),IF(2=MAX(1,ROUNDUP(Assumptions!$C$9/30,0)),T13*(1-Assumptions!$C$24),0),IF(1=MAX(1,ROUNDUP(Assumptions!$C$9/30,0)),U13*(1-Assumptions!$C$24),0),IF(0=MAX(1,ROUNDUP(Assumptions!$C$9/30,0)),V13*(1-Assumptions!$C$24),0),IF(19=MAX(1,ROUNDUP(Assumptions!$C$9/30,0)),C12*(1-Assumptions!$C$25),0),IF(18=MAX(1,ROUNDUP(Assumptions!$C$9/30,0)),D12*(1-Assumptions!$C$25),0),IF(17=MAX(1,ROUNDUP(Assumptions!$C$9/30,0)),E12*(1-Assumptions!$C$25),0),IF(16=MAX(1,ROUNDUP(Assumptions!$C$9/30,0)),F12*(1-Assumptions!$C$25),0),IF(15=MAX(1,ROUNDUP(Assumptions!$C$9/30,0)),G12*(1-Assumptions!$C$25),0),IF(14=MAX(1,ROUNDUP(Assumptions!$C$9/30,0)),H12*(1-Assumptions!$C$25),0),IF(13=MAX(1,ROUNDUP(Assumptions!$C$9/30,0)),I12*(1-Assumptions!$C$25),0),IF(12=MAX(1,ROUNDUP(Assumptions!$C$9/30,0)),J12*(1-Assumptions!$C$25),0),IF(11=MAX(1,ROUNDUP(Assumptions!$C$9/30,0)),K12*(1-Assumptions!$C$25),0),IF(10=MAX(1,ROUNDUP(Assumptions!$C$9/30,0)),L12*(1-Assumptions!$C$25),0),IF(9=MAX(1,ROUNDUP(Assumptions!$C$9/30,0)),M12*(1-Assumptions!$C$25),0),IF(8=MAX(1,ROUNDUP(Assumptions!$C$9/30,0)),N12*(1-Assumptions!$C$25),0),IF(7=MAX(1,ROUNDUP(Assumptions!$C$9/30,0)),O12*(1-Assumptions!$C$25),0),IF(6=MAX(1,ROUNDUP(Assumptions!$C$9/30,0)),P12*(1-Assumptions!$C$25),0),IF(5=MAX(1,ROUNDUP(Assumptions!$C$9/30,0)),Q12*(1-Assumptions!$C$25),0),IF(4=MAX(1,ROUNDUP(Assumptions!$C$9/30,0)),R12*(1-Assumptions!$C$25),0),IF(3=MAX(1,ROUNDUP(Assumptions!$C$9/30,0)),S12*(1-Assumptions!$C$25),0),IF(2=MAX(1,ROUNDUP(Assumptions!$C$9/30,0)),T12*(1-Assumptions!$C$25),0),IF(1=MAX(1,ROUNDUP(Assumptions!$C$9/30,0)),U12*(1-Assumptions!$C$25),0),IF(0=MAX(1,ROUNDUP(Assumptions!$C$9/30,0)),V12*(1-Assumptions!$C$25),0))+IF(19=Assumptions!$C$12,$C$8*(1-Assumptions!$C$26),0)</f>
        <v>21.659573103219763</v>
      </c>
      <c r="W37" s="14">
        <f>SUM(IF(20=MAX(1,ROUNDUP(Assumptions!$C$9/30,0)),C13*(1-Assumptions!$C$24),0),IF(19=MAX(1,ROUNDUP(Assumptions!$C$9/30,0)),D13*(1-Assumptions!$C$24),0),IF(18=MAX(1,ROUNDUP(Assumptions!$C$9/30,0)),E13*(1-Assumptions!$C$24),0),IF(17=MAX(1,ROUNDUP(Assumptions!$C$9/30,0)),F13*(1-Assumptions!$C$24),0),IF(16=MAX(1,ROUNDUP(Assumptions!$C$9/30,0)),G13*(1-Assumptions!$C$24),0),IF(15=MAX(1,ROUNDUP(Assumptions!$C$9/30,0)),H13*(1-Assumptions!$C$24),0),IF(14=MAX(1,ROUNDUP(Assumptions!$C$9/30,0)),I13*(1-Assumptions!$C$24),0),IF(13=MAX(1,ROUNDUP(Assumptions!$C$9/30,0)),J13*(1-Assumptions!$C$24),0),IF(12=MAX(1,ROUNDUP(Assumptions!$C$9/30,0)),K13*(1-Assumptions!$C$24),0),IF(11=MAX(1,ROUNDUP(Assumptions!$C$9/30,0)),L13*(1-Assumptions!$C$24),0),IF(10=MAX(1,ROUNDUP(Assumptions!$C$9/30,0)),M13*(1-Assumptions!$C$24),0),IF(9=MAX(1,ROUNDUP(Assumptions!$C$9/30,0)),N13*(1-Assumptions!$C$24),0),IF(8=MAX(1,ROUNDUP(Assumptions!$C$9/30,0)),O13*(1-Assumptions!$C$24),0),IF(7=MAX(1,ROUNDUP(Assumptions!$C$9/30,0)),P13*(1-Assumptions!$C$24),0),IF(6=MAX(1,ROUNDUP(Assumptions!$C$9/30,0)),Q13*(1-Assumptions!$C$24),0),IF(5=MAX(1,ROUNDUP(Assumptions!$C$9/30,0)),R13*(1-Assumptions!$C$24),0),IF(4=MAX(1,ROUNDUP(Assumptions!$C$9/30,0)),S13*(1-Assumptions!$C$24),0),IF(3=MAX(1,ROUNDUP(Assumptions!$C$9/30,0)),T13*(1-Assumptions!$C$24),0),IF(2=MAX(1,ROUNDUP(Assumptions!$C$9/30,0)),U13*(1-Assumptions!$C$24),0),IF(1=MAX(1,ROUNDUP(Assumptions!$C$9/30,0)),V13*(1-Assumptions!$C$24),0),IF(0=MAX(1,ROUNDUP(Assumptions!$C$9/30,0)),W13*(1-Assumptions!$C$24),0),IF(20=MAX(1,ROUNDUP(Assumptions!$C$9/30,0)),C12*(1-Assumptions!$C$25),0),IF(19=MAX(1,ROUNDUP(Assumptions!$C$9/30,0)),D12*(1-Assumptions!$C$25),0),IF(18=MAX(1,ROUNDUP(Assumptions!$C$9/30,0)),E12*(1-Assumptions!$C$25),0),IF(17=MAX(1,ROUNDUP(Assumptions!$C$9/30,0)),F12*(1-Assumptions!$C$25),0),IF(16=MAX(1,ROUNDUP(Assumptions!$C$9/30,0)),G12*(1-Assumptions!$C$25),0),IF(15=MAX(1,ROUNDUP(Assumptions!$C$9/30,0)),H12*(1-Assumptions!$C$25),0),IF(14=MAX(1,ROUNDUP(Assumptions!$C$9/30,0)),I12*(1-Assumptions!$C$25),0),IF(13=MAX(1,ROUNDUP(Assumptions!$C$9/30,0)),J12*(1-Assumptions!$C$25),0),IF(12=MAX(1,ROUNDUP(Assumptions!$C$9/30,0)),K12*(1-Assumptions!$C$25),0),IF(11=MAX(1,ROUNDUP(Assumptions!$C$9/30,0)),L12*(1-Assumptions!$C$25),0),IF(10=MAX(1,ROUNDUP(Assumptions!$C$9/30,0)),M12*(1-Assumptions!$C$25),0),IF(9=MAX(1,ROUNDUP(Assumptions!$C$9/30,0)),N12*(1-Assumptions!$C$25),0),IF(8=MAX(1,ROUNDUP(Assumptions!$C$9/30,0)),O12*(1-Assumptions!$C$25),0),IF(7=MAX(1,ROUNDUP(Assumptions!$C$9/30,0)),P12*(1-Assumptions!$C$25),0),IF(6=MAX(1,ROUNDUP(Assumptions!$C$9/30,0)),Q12*(1-Assumptions!$C$25),0),IF(5=MAX(1,ROUNDUP(Assumptions!$C$9/30,0)),R12*(1-Assumptions!$C$25),0),IF(4=MAX(1,ROUNDUP(Assumptions!$C$9/30,0)),S12*(1-Assumptions!$C$25),0),IF(3=MAX(1,ROUNDUP(Assumptions!$C$9/30,0)),T12*(1-Assumptions!$C$25),0),IF(2=MAX(1,ROUNDUP(Assumptions!$C$9/30,0)),U12*(1-Assumptions!$C$25),0),IF(1=MAX(1,ROUNDUP(Assumptions!$C$9/30,0)),V12*(1-Assumptions!$C$25),0),IF(0=MAX(1,ROUNDUP(Assumptions!$C$9/30,0)),W12*(1-Assumptions!$C$25),0))+IF(20=Assumptions!$C$12,$C$8*(1-Assumptions!$C$26),0)</f>
        <v>22.742551758380749</v>
      </c>
      <c r="X37" s="14">
        <f>SUM(IF(21=MAX(1,ROUNDUP(Assumptions!$C$9/30,0)),C13*(1-Assumptions!$C$24),0),IF(20=MAX(1,ROUNDUP(Assumptions!$C$9/30,0)),D13*(1-Assumptions!$C$24),0),IF(19=MAX(1,ROUNDUP(Assumptions!$C$9/30,0)),E13*(1-Assumptions!$C$24),0),IF(18=MAX(1,ROUNDUP(Assumptions!$C$9/30,0)),F13*(1-Assumptions!$C$24),0),IF(17=MAX(1,ROUNDUP(Assumptions!$C$9/30,0)),G13*(1-Assumptions!$C$24),0),IF(16=MAX(1,ROUNDUP(Assumptions!$C$9/30,0)),H13*(1-Assumptions!$C$24),0),IF(15=MAX(1,ROUNDUP(Assumptions!$C$9/30,0)),I13*(1-Assumptions!$C$24),0),IF(14=MAX(1,ROUNDUP(Assumptions!$C$9/30,0)),J13*(1-Assumptions!$C$24),0),IF(13=MAX(1,ROUNDUP(Assumptions!$C$9/30,0)),K13*(1-Assumptions!$C$24),0),IF(12=MAX(1,ROUNDUP(Assumptions!$C$9/30,0)),L13*(1-Assumptions!$C$24),0),IF(11=MAX(1,ROUNDUP(Assumptions!$C$9/30,0)),M13*(1-Assumptions!$C$24),0),IF(10=MAX(1,ROUNDUP(Assumptions!$C$9/30,0)),N13*(1-Assumptions!$C$24),0),IF(9=MAX(1,ROUNDUP(Assumptions!$C$9/30,0)),O13*(1-Assumptions!$C$24),0),IF(8=MAX(1,ROUNDUP(Assumptions!$C$9/30,0)),P13*(1-Assumptions!$C$24),0),IF(7=MAX(1,ROUNDUP(Assumptions!$C$9/30,0)),Q13*(1-Assumptions!$C$24),0),IF(6=MAX(1,ROUNDUP(Assumptions!$C$9/30,0)),R13*(1-Assumptions!$C$24),0),IF(5=MAX(1,ROUNDUP(Assumptions!$C$9/30,0)),S13*(1-Assumptions!$C$24),0),IF(4=MAX(1,ROUNDUP(Assumptions!$C$9/30,0)),T13*(1-Assumptions!$C$24),0),IF(3=MAX(1,ROUNDUP(Assumptions!$C$9/30,0)),U13*(1-Assumptions!$C$24),0),IF(2=MAX(1,ROUNDUP(Assumptions!$C$9/30,0)),V13*(1-Assumptions!$C$24),0),IF(1=MAX(1,ROUNDUP(Assumptions!$C$9/30,0)),W13*(1-Assumptions!$C$24),0),IF(0=MAX(1,ROUNDUP(Assumptions!$C$9/30,0)),X13*(1-Assumptions!$C$24),0),IF(21=MAX(1,ROUNDUP(Assumptions!$C$9/30,0)),C12*(1-Assumptions!$C$25),0),IF(20=MAX(1,ROUNDUP(Assumptions!$C$9/30,0)),D12*(1-Assumptions!$C$25),0),IF(19=MAX(1,ROUNDUP(Assumptions!$C$9/30,0)),E12*(1-Assumptions!$C$25),0),IF(18=MAX(1,ROUNDUP(Assumptions!$C$9/30,0)),F12*(1-Assumptions!$C$25),0),IF(17=MAX(1,ROUNDUP(Assumptions!$C$9/30,0)),G12*(1-Assumptions!$C$25),0),IF(16=MAX(1,ROUNDUP(Assumptions!$C$9/30,0)),H12*(1-Assumptions!$C$25),0),IF(15=MAX(1,ROUNDUP(Assumptions!$C$9/30,0)),I12*(1-Assumptions!$C$25),0),IF(14=MAX(1,ROUNDUP(Assumptions!$C$9/30,0)),J12*(1-Assumptions!$C$25),0),IF(13=MAX(1,ROUNDUP(Assumptions!$C$9/30,0)),K12*(1-Assumptions!$C$25),0),IF(12=MAX(1,ROUNDUP(Assumptions!$C$9/30,0)),L12*(1-Assumptions!$C$25),0),IF(11=MAX(1,ROUNDUP(Assumptions!$C$9/30,0)),M12*(1-Assumptions!$C$25),0),IF(10=MAX(1,ROUNDUP(Assumptions!$C$9/30,0)),N12*(1-Assumptions!$C$25),0),IF(9=MAX(1,ROUNDUP(Assumptions!$C$9/30,0)),O12*(1-Assumptions!$C$25),0),IF(8=MAX(1,ROUNDUP(Assumptions!$C$9/30,0)),P12*(1-Assumptions!$C$25),0),IF(7=MAX(1,ROUNDUP(Assumptions!$C$9/30,0)),Q12*(1-Assumptions!$C$25),0),IF(6=MAX(1,ROUNDUP(Assumptions!$C$9/30,0)),R12*(1-Assumptions!$C$25),0),IF(5=MAX(1,ROUNDUP(Assumptions!$C$9/30,0)),S12*(1-Assumptions!$C$25),0),IF(4=MAX(1,ROUNDUP(Assumptions!$C$9/30,0)),T12*(1-Assumptions!$C$25),0),IF(3=MAX(1,ROUNDUP(Assumptions!$C$9/30,0)),U12*(1-Assumptions!$C$25),0),IF(2=MAX(1,ROUNDUP(Assumptions!$C$9/30,0)),V12*(1-Assumptions!$C$25),0),IF(1=MAX(1,ROUNDUP(Assumptions!$C$9/30,0)),W12*(1-Assumptions!$C$25),0),IF(0=MAX(1,ROUNDUP(Assumptions!$C$9/30,0)),X12*(1-Assumptions!$C$25),0))+IF(21=Assumptions!$C$12,$C$8*(1-Assumptions!$C$26),0)</f>
        <v>23.879679346299788</v>
      </c>
      <c r="Y37" s="14">
        <f>SUM(IF(22=MAX(1,ROUNDUP(Assumptions!$C$9/30,0)),C13*(1-Assumptions!$C$24),0),IF(21=MAX(1,ROUNDUP(Assumptions!$C$9/30,0)),D13*(1-Assumptions!$C$24),0),IF(20=MAX(1,ROUNDUP(Assumptions!$C$9/30,0)),E13*(1-Assumptions!$C$24),0),IF(19=MAX(1,ROUNDUP(Assumptions!$C$9/30,0)),F13*(1-Assumptions!$C$24),0),IF(18=MAX(1,ROUNDUP(Assumptions!$C$9/30,0)),G13*(1-Assumptions!$C$24),0),IF(17=MAX(1,ROUNDUP(Assumptions!$C$9/30,0)),H13*(1-Assumptions!$C$24),0),IF(16=MAX(1,ROUNDUP(Assumptions!$C$9/30,0)),I13*(1-Assumptions!$C$24),0),IF(15=MAX(1,ROUNDUP(Assumptions!$C$9/30,0)),J13*(1-Assumptions!$C$24),0),IF(14=MAX(1,ROUNDUP(Assumptions!$C$9/30,0)),K13*(1-Assumptions!$C$24),0),IF(13=MAX(1,ROUNDUP(Assumptions!$C$9/30,0)),L13*(1-Assumptions!$C$24),0),IF(12=MAX(1,ROUNDUP(Assumptions!$C$9/30,0)),M13*(1-Assumptions!$C$24),0),IF(11=MAX(1,ROUNDUP(Assumptions!$C$9/30,0)),N13*(1-Assumptions!$C$24),0),IF(10=MAX(1,ROUNDUP(Assumptions!$C$9/30,0)),O13*(1-Assumptions!$C$24),0),IF(9=MAX(1,ROUNDUP(Assumptions!$C$9/30,0)),P13*(1-Assumptions!$C$24),0),IF(8=MAX(1,ROUNDUP(Assumptions!$C$9/30,0)),Q13*(1-Assumptions!$C$24),0),IF(7=MAX(1,ROUNDUP(Assumptions!$C$9/30,0)),R13*(1-Assumptions!$C$24),0),IF(6=MAX(1,ROUNDUP(Assumptions!$C$9/30,0)),S13*(1-Assumptions!$C$24),0),IF(5=MAX(1,ROUNDUP(Assumptions!$C$9/30,0)),T13*(1-Assumptions!$C$24),0),IF(4=MAX(1,ROUNDUP(Assumptions!$C$9/30,0)),U13*(1-Assumptions!$C$24),0),IF(3=MAX(1,ROUNDUP(Assumptions!$C$9/30,0)),V13*(1-Assumptions!$C$24),0),IF(2=MAX(1,ROUNDUP(Assumptions!$C$9/30,0)),W13*(1-Assumptions!$C$24),0),IF(1=MAX(1,ROUNDUP(Assumptions!$C$9/30,0)),X13*(1-Assumptions!$C$24),0),IF(0=MAX(1,ROUNDUP(Assumptions!$C$9/30,0)),Y13*(1-Assumptions!$C$24),0),IF(22=MAX(1,ROUNDUP(Assumptions!$C$9/30,0)),C12*(1-Assumptions!$C$25),0),IF(21=MAX(1,ROUNDUP(Assumptions!$C$9/30,0)),D12*(1-Assumptions!$C$25),0),IF(20=MAX(1,ROUNDUP(Assumptions!$C$9/30,0)),E12*(1-Assumptions!$C$25),0),IF(19=MAX(1,ROUNDUP(Assumptions!$C$9/30,0)),F12*(1-Assumptions!$C$25),0),IF(18=MAX(1,ROUNDUP(Assumptions!$C$9/30,0)),G12*(1-Assumptions!$C$25),0),IF(17=MAX(1,ROUNDUP(Assumptions!$C$9/30,0)),H12*(1-Assumptions!$C$25),0),IF(16=MAX(1,ROUNDUP(Assumptions!$C$9/30,0)),I12*(1-Assumptions!$C$25),0),IF(15=MAX(1,ROUNDUP(Assumptions!$C$9/30,0)),J12*(1-Assumptions!$C$25),0),IF(14=MAX(1,ROUNDUP(Assumptions!$C$9/30,0)),K12*(1-Assumptions!$C$25),0),IF(13=MAX(1,ROUNDUP(Assumptions!$C$9/30,0)),L12*(1-Assumptions!$C$25),0),IF(12=MAX(1,ROUNDUP(Assumptions!$C$9/30,0)),M12*(1-Assumptions!$C$25),0),IF(11=MAX(1,ROUNDUP(Assumptions!$C$9/30,0)),N12*(1-Assumptions!$C$25),0),IF(10=MAX(1,ROUNDUP(Assumptions!$C$9/30,0)),O12*(1-Assumptions!$C$25),0),IF(9=MAX(1,ROUNDUP(Assumptions!$C$9/30,0)),P12*(1-Assumptions!$C$25),0),IF(8=MAX(1,ROUNDUP(Assumptions!$C$9/30,0)),Q12*(1-Assumptions!$C$25),0),IF(7=MAX(1,ROUNDUP(Assumptions!$C$9/30,0)),R12*(1-Assumptions!$C$25),0),IF(6=MAX(1,ROUNDUP(Assumptions!$C$9/30,0)),S12*(1-Assumptions!$C$25),0),IF(5=MAX(1,ROUNDUP(Assumptions!$C$9/30,0)),T12*(1-Assumptions!$C$25),0),IF(4=MAX(1,ROUNDUP(Assumptions!$C$9/30,0)),U12*(1-Assumptions!$C$25),0),IF(3=MAX(1,ROUNDUP(Assumptions!$C$9/30,0)),V12*(1-Assumptions!$C$25),0),IF(2=MAX(1,ROUNDUP(Assumptions!$C$9/30,0)),W12*(1-Assumptions!$C$25),0),IF(1=MAX(1,ROUNDUP(Assumptions!$C$9/30,0)),X12*(1-Assumptions!$C$25),0),IF(0=MAX(1,ROUNDUP(Assumptions!$C$9/30,0)),Y12*(1-Assumptions!$C$25),0))+IF(22=Assumptions!$C$12,$C$8*(1-Assumptions!$C$26),0)</f>
        <v>25.073663313614777</v>
      </c>
      <c r="Z37" s="14">
        <f>SUM(IF(23=MAX(1,ROUNDUP(Assumptions!$C$9/30,0)),C13*(1-Assumptions!$C$24),0),IF(22=MAX(1,ROUNDUP(Assumptions!$C$9/30,0)),D13*(1-Assumptions!$C$24),0),IF(21=MAX(1,ROUNDUP(Assumptions!$C$9/30,0)),E13*(1-Assumptions!$C$24),0),IF(20=MAX(1,ROUNDUP(Assumptions!$C$9/30,0)),F13*(1-Assumptions!$C$24),0),IF(19=MAX(1,ROUNDUP(Assumptions!$C$9/30,0)),G13*(1-Assumptions!$C$24),0),IF(18=MAX(1,ROUNDUP(Assumptions!$C$9/30,0)),H13*(1-Assumptions!$C$24),0),IF(17=MAX(1,ROUNDUP(Assumptions!$C$9/30,0)),I13*(1-Assumptions!$C$24),0),IF(16=MAX(1,ROUNDUP(Assumptions!$C$9/30,0)),J13*(1-Assumptions!$C$24),0),IF(15=MAX(1,ROUNDUP(Assumptions!$C$9/30,0)),K13*(1-Assumptions!$C$24),0),IF(14=MAX(1,ROUNDUP(Assumptions!$C$9/30,0)),L13*(1-Assumptions!$C$24),0),IF(13=MAX(1,ROUNDUP(Assumptions!$C$9/30,0)),M13*(1-Assumptions!$C$24),0),IF(12=MAX(1,ROUNDUP(Assumptions!$C$9/30,0)),N13*(1-Assumptions!$C$24),0),IF(11=MAX(1,ROUNDUP(Assumptions!$C$9/30,0)),O13*(1-Assumptions!$C$24),0),IF(10=MAX(1,ROUNDUP(Assumptions!$C$9/30,0)),P13*(1-Assumptions!$C$24),0),IF(9=MAX(1,ROUNDUP(Assumptions!$C$9/30,0)),Q13*(1-Assumptions!$C$24),0),IF(8=MAX(1,ROUNDUP(Assumptions!$C$9/30,0)),R13*(1-Assumptions!$C$24),0),IF(7=MAX(1,ROUNDUP(Assumptions!$C$9/30,0)),S13*(1-Assumptions!$C$24),0),IF(6=MAX(1,ROUNDUP(Assumptions!$C$9/30,0)),T13*(1-Assumptions!$C$24),0),IF(5=MAX(1,ROUNDUP(Assumptions!$C$9/30,0)),U13*(1-Assumptions!$C$24),0),IF(4=MAX(1,ROUNDUP(Assumptions!$C$9/30,0)),V13*(1-Assumptions!$C$24),0),IF(3=MAX(1,ROUNDUP(Assumptions!$C$9/30,0)),W13*(1-Assumptions!$C$24),0),IF(2=MAX(1,ROUNDUP(Assumptions!$C$9/30,0)),X13*(1-Assumptions!$C$24),0),IF(1=MAX(1,ROUNDUP(Assumptions!$C$9/30,0)),Y13*(1-Assumptions!$C$24),0),IF(0=MAX(1,ROUNDUP(Assumptions!$C$9/30,0)),Z13*(1-Assumptions!$C$24),0),IF(23=MAX(1,ROUNDUP(Assumptions!$C$9/30,0)),C12*(1-Assumptions!$C$25),0),IF(22=MAX(1,ROUNDUP(Assumptions!$C$9/30,0)),D12*(1-Assumptions!$C$25),0),IF(21=MAX(1,ROUNDUP(Assumptions!$C$9/30,0)),E12*(1-Assumptions!$C$25),0),IF(20=MAX(1,ROUNDUP(Assumptions!$C$9/30,0)),F12*(1-Assumptions!$C$25),0),IF(19=MAX(1,ROUNDUP(Assumptions!$C$9/30,0)),G12*(1-Assumptions!$C$25),0),IF(18=MAX(1,ROUNDUP(Assumptions!$C$9/30,0)),H12*(1-Assumptions!$C$25),0),IF(17=MAX(1,ROUNDUP(Assumptions!$C$9/30,0)),I12*(1-Assumptions!$C$25),0),IF(16=MAX(1,ROUNDUP(Assumptions!$C$9/30,0)),J12*(1-Assumptions!$C$25),0),IF(15=MAX(1,ROUNDUP(Assumptions!$C$9/30,0)),K12*(1-Assumptions!$C$25),0),IF(14=MAX(1,ROUNDUP(Assumptions!$C$9/30,0)),L12*(1-Assumptions!$C$25),0),IF(13=MAX(1,ROUNDUP(Assumptions!$C$9/30,0)),M12*(1-Assumptions!$C$25),0),IF(12=MAX(1,ROUNDUP(Assumptions!$C$9/30,0)),N12*(1-Assumptions!$C$25),0),IF(11=MAX(1,ROUNDUP(Assumptions!$C$9/30,0)),O12*(1-Assumptions!$C$25),0),IF(10=MAX(1,ROUNDUP(Assumptions!$C$9/30,0)),P12*(1-Assumptions!$C$25),0),IF(9=MAX(1,ROUNDUP(Assumptions!$C$9/30,0)),Q12*(1-Assumptions!$C$25),0),IF(8=MAX(1,ROUNDUP(Assumptions!$C$9/30,0)),R12*(1-Assumptions!$C$25),0),IF(7=MAX(1,ROUNDUP(Assumptions!$C$9/30,0)),S12*(1-Assumptions!$C$25),0),IF(6=MAX(1,ROUNDUP(Assumptions!$C$9/30,0)),T12*(1-Assumptions!$C$25),0),IF(5=MAX(1,ROUNDUP(Assumptions!$C$9/30,0)),U12*(1-Assumptions!$C$25),0),IF(4=MAX(1,ROUNDUP(Assumptions!$C$9/30,0)),V12*(1-Assumptions!$C$25),0),IF(3=MAX(1,ROUNDUP(Assumptions!$C$9/30,0)),W12*(1-Assumptions!$C$25),0),IF(2=MAX(1,ROUNDUP(Assumptions!$C$9/30,0)),X12*(1-Assumptions!$C$25),0),IF(1=MAX(1,ROUNDUP(Assumptions!$C$9/30,0)),Y12*(1-Assumptions!$C$25),0),IF(0=MAX(1,ROUNDUP(Assumptions!$C$9/30,0)),Z12*(1-Assumptions!$C$25),0))+IF(23=Assumptions!$C$12,$C$8*(1-Assumptions!$C$26),0)</f>
        <v>26.327346479295514</v>
      </c>
    </row>
    <row r="38" spans="1:26" ht="16.5" customHeight="1">
      <c r="A38" s="1" t="s">
        <v>268</v>
      </c>
      <c r="B38" s="1" t="s">
        <v>103</v>
      </c>
      <c r="C38" s="14">
        <f>SUM(C25:C27)*Assumptions!$C$32</f>
        <v>0</v>
      </c>
      <c r="D38" s="14">
        <f>SUM(D25:D27)*Assumptions!$C$32</f>
        <v>0</v>
      </c>
      <c r="E38" s="14">
        <f>SUM(E25:E27)*Assumptions!$C$32</f>
        <v>0.13824</v>
      </c>
      <c r="F38" s="14">
        <f>SUM(F25:F27)*Assumptions!$C$32</f>
        <v>0.19410623999999999</v>
      </c>
      <c r="G38" s="14">
        <f>SUM(G25:G27)*Assumptions!$C$32</f>
        <v>0.24554306303999995</v>
      </c>
      <c r="H38" s="14">
        <f>SUM(H25:H27)*Assumptions!$C$32</f>
        <v>0.29653737928704005</v>
      </c>
      <c r="I38" s="14">
        <f>SUM(I25:I27)*Assumptions!$C$32</f>
        <v>0.34757465628432388</v>
      </c>
      <c r="J38" s="14">
        <f>SUM(J25:J27)*Assumptions!$C$32</f>
        <v>0.39884390706094613</v>
      </c>
      <c r="K38" s="14">
        <f>SUM(K25:K27)*Assumptions!$C$32</f>
        <v>0.45050742361446627</v>
      </c>
      <c r="L38" s="14">
        <f>SUM(L25:L27)*Assumptions!$C$32</f>
        <v>0.50272393433539586</v>
      </c>
      <c r="M38" s="14">
        <f>SUM(M25:M27)*Assumptions!$C$32</f>
        <v>0.55565103622511003</v>
      </c>
      <c r="N38" s="14">
        <f>SUM(N25:N27)*Assumptions!$C$32</f>
        <v>0.60944587515755955</v>
      </c>
      <c r="O38" s="14">
        <f>SUM(O25:O27)*Assumptions!$C$32</f>
        <v>0.66426566965073774</v>
      </c>
      <c r="P38" s="14">
        <f>SUM(P25:P27)*Assumptions!$C$32</f>
        <v>0.7202682138206643</v>
      </c>
      <c r="Q38" s="14">
        <f>SUM(Q25:Q27)*Assumptions!$C$32</f>
        <v>0.7776123725150228</v>
      </c>
      <c r="R38" s="14">
        <f>SUM(R25:R27)*Assumptions!$C$32</f>
        <v>0.83645857127188006</v>
      </c>
      <c r="S38" s="14">
        <f>SUM(S25:S27)*Assumptions!$C$32</f>
        <v>0.89696928283818911</v>
      </c>
      <c r="T38" s="14">
        <f>SUM(T25:T27)*Assumptions!$C$32</f>
        <v>0.95930951187063973</v>
      </c>
      <c r="U38" s="14">
        <f>SUM(U25:U27)*Assumptions!$C$32</f>
        <v>1.0236472794017184</v>
      </c>
      <c r="V38" s="14">
        <f>SUM(V25:V27)*Assumptions!$C$32</f>
        <v>1.0901541086253479</v>
      </c>
      <c r="W38" s="14">
        <f>SUM(W25:W27)*Assumptions!$C$32</f>
        <v>1.1590055135339321</v>
      </c>
      <c r="X38" s="14">
        <f>SUM(X25:X27)*Assumptions!$C$32</f>
        <v>1.2303814919213973</v>
      </c>
      <c r="Y38" s="14">
        <f>SUM(Y25:Y27)*Assumptions!$C$32</f>
        <v>1.3044670242547465</v>
      </c>
      <c r="Z38" s="14">
        <f>SUM(Z25:Z27)*Assumptions!$C$32</f>
        <v>1.3814525799095774</v>
      </c>
    </row>
    <row r="39" spans="1:26" ht="16.5" customHeight="1">
      <c r="A39" s="1" t="s">
        <v>269</v>
      </c>
      <c r="B39" s="1" t="s">
        <v>103</v>
      </c>
      <c r="C39" s="14">
        <f>C35*Assumptions!$C$31</f>
        <v>0</v>
      </c>
      <c r="D39" s="14">
        <f>D35*Assumptions!$C$31</f>
        <v>3.75</v>
      </c>
      <c r="E39" s="14">
        <f>E35*Assumptions!$C$31</f>
        <v>9.8483999999999998</v>
      </c>
      <c r="F39" s="14">
        <f>F35*Assumptions!$C$31</f>
        <v>12.624327600000003</v>
      </c>
      <c r="G39" s="14">
        <f>G35*Assumptions!$C$31</f>
        <v>14.667781142400001</v>
      </c>
      <c r="H39" s="14">
        <f>H35*Assumptions!$C$31</f>
        <v>16.385379694425602</v>
      </c>
      <c r="I39" s="14">
        <f>I35*Assumptions!$C$31</f>
        <v>17.90379289285406</v>
      </c>
      <c r="J39" s="14">
        <f>J35*Assumptions!$C$31</f>
        <v>19.299127532642622</v>
      </c>
      <c r="K39" s="14">
        <f>K35*Assumptions!$C$31</f>
        <v>20.62434255880942</v>
      </c>
      <c r="L39" s="14">
        <f>L35*Assumptions!$C$31</f>
        <v>21.917256297577982</v>
      </c>
      <c r="M39" s="14">
        <f>M35*Assumptions!$C$31</f>
        <v>23.205214011321271</v>
      </c>
      <c r="N39" s="14">
        <f>N35*Assumptions!$C$31</f>
        <v>24.508278406715799</v>
      </c>
      <c r="O39" s="14">
        <f>O35*Assumptions!$C$31</f>
        <v>25.841458599069878</v>
      </c>
      <c r="P39" s="14">
        <f>P35*Assumptions!$C$31</f>
        <v>27.216272169614928</v>
      </c>
      <c r="Q39" s="14">
        <f>Q35*Assumptions!$C$31</f>
        <v>28.641841004712475</v>
      </c>
      <c r="R39" s="14">
        <f>R35*Assumptions!$C$31</f>
        <v>30.125660937980552</v>
      </c>
      <c r="S39" s="14">
        <f>S35*Assumptions!$C$31</f>
        <v>31.674143177041618</v>
      </c>
      <c r="T39" s="14">
        <f>T35*Assumptions!$C$31</f>
        <v>33.292996105307935</v>
      </c>
      <c r="U39" s="14">
        <f>U35*Assumptions!$C$31</f>
        <v>34.987495478630443</v>
      </c>
      <c r="V39" s="14">
        <f>V35*Assumptions!$C$31</f>
        <v>36.762676637783223</v>
      </c>
      <c r="W39" s="14">
        <f>W35*Assumptions!$C$31</f>
        <v>38.623472278903328</v>
      </c>
      <c r="X39" s="14">
        <f>X35*Assumptions!$C$31</f>
        <v>40.574812269153348</v>
      </c>
      <c r="Y39" s="14">
        <f>Y35*Assumptions!$C$31</f>
        <v>42.62169705683764</v>
      </c>
      <c r="Z39" s="14">
        <f>Z35*Assumptions!$C$31</f>
        <v>44.769252768959348</v>
      </c>
    </row>
    <row r="40" spans="1:26" ht="16.5" customHeight="1">
      <c r="A40" s="5" t="s">
        <v>270</v>
      </c>
      <c r="B40" s="5" t="s">
        <v>103</v>
      </c>
      <c r="C40" s="16">
        <f t="shared" ref="C40:Z40" si="12">SUM(C35:C37)+C38-C39</f>
        <v>12.5</v>
      </c>
      <c r="D40" s="16">
        <f t="shared" si="12"/>
        <v>32.828000000000003</v>
      </c>
      <c r="E40" s="16">
        <f t="shared" si="12"/>
        <v>42.081092000000012</v>
      </c>
      <c r="F40" s="16">
        <f t="shared" si="12"/>
        <v>48.892603808000004</v>
      </c>
      <c r="G40" s="16">
        <f t="shared" si="12"/>
        <v>54.617932314752011</v>
      </c>
      <c r="H40" s="16">
        <f t="shared" si="12"/>
        <v>59.679309642846867</v>
      </c>
      <c r="I40" s="16">
        <f t="shared" si="12"/>
        <v>64.33042510880874</v>
      </c>
      <c r="J40" s="16">
        <f t="shared" si="12"/>
        <v>68.747808529364733</v>
      </c>
      <c r="K40" s="16">
        <f t="shared" si="12"/>
        <v>73.057520991926609</v>
      </c>
      <c r="L40" s="16">
        <f t="shared" si="12"/>
        <v>77.35071337107091</v>
      </c>
      <c r="M40" s="16">
        <f t="shared" si="12"/>
        <v>81.694261355719334</v>
      </c>
      <c r="N40" s="16">
        <f t="shared" si="12"/>
        <v>86.138195330232932</v>
      </c>
      <c r="O40" s="16">
        <f t="shared" si="12"/>
        <v>90.720907232049768</v>
      </c>
      <c r="P40" s="16">
        <f t="shared" si="12"/>
        <v>95.472803349041584</v>
      </c>
      <c r="Q40" s="16">
        <f t="shared" si="12"/>
        <v>100.41886979326851</v>
      </c>
      <c r="R40" s="16">
        <f t="shared" si="12"/>
        <v>105.58047725680539</v>
      </c>
      <c r="S40" s="16">
        <f t="shared" si="12"/>
        <v>110.97665368435979</v>
      </c>
      <c r="T40" s="16">
        <f t="shared" si="12"/>
        <v>116.62498492876816</v>
      </c>
      <c r="U40" s="16">
        <f t="shared" si="12"/>
        <v>122.54225545927741</v>
      </c>
      <c r="V40" s="16">
        <f t="shared" si="12"/>
        <v>128.74490759634443</v>
      </c>
      <c r="W40" s="16">
        <f t="shared" si="12"/>
        <v>135.24937423051117</v>
      </c>
      <c r="X40" s="16">
        <f t="shared" si="12"/>
        <v>142.07232352279215</v>
      </c>
      <c r="Y40" s="16">
        <f t="shared" si="12"/>
        <v>149.23084256319783</v>
      </c>
      <c r="Z40" s="16">
        <f t="shared" si="12"/>
        <v>156.74257890078601</v>
      </c>
    </row>
    <row r="41" spans="1:26" ht="16.5" customHeight="1">
      <c r="A41" s="1" t="s">
        <v>271</v>
      </c>
      <c r="B41" s="1" t="s">
        <v>103</v>
      </c>
      <c r="C41" s="14">
        <f>SUM(IF(0&lt;MAX(1,ROUNDUP(Assumptions!$C$9/30,0)),C13+C12,0))</f>
        <v>12</v>
      </c>
      <c r="D41" s="14">
        <f>SUM(IF(1&lt;MAX(1,ROUNDUP(Assumptions!$C$9/30,0)),C13+C12,0),IF(0&lt;MAX(1,ROUNDUP(Assumptions!$C$9/30,0)),D13+D12,0))</f>
        <v>13.481999999999999</v>
      </c>
      <c r="E41" s="14">
        <f>SUM(IF(2&lt;MAX(1,ROUNDUP(Assumptions!$C$9/30,0)),C13+C12,0),IF(1&lt;MAX(1,ROUNDUP(Assumptions!$C$9/30,0)),D13+D12,0),IF(0&lt;MAX(1,ROUNDUP(Assumptions!$C$9/30,0)),E13+E12,0))</f>
        <v>13.304088</v>
      </c>
      <c r="F41" s="14">
        <f>SUM(IF(3&lt;MAX(1,ROUNDUP(Assumptions!$C$9/30,0)),C13+C12,0),IF(2&lt;MAX(1,ROUNDUP(Assumptions!$C$9/30,0)),D13+D12,0),IF(1&lt;MAX(1,ROUNDUP(Assumptions!$C$9/30,0)),E13+E12,0),IF(0&lt;MAX(1,ROUNDUP(Assumptions!$C$9/30,0)),F13+F12,0))</f>
        <v>13.897723392000003</v>
      </c>
      <c r="G41" s="14">
        <f>SUM(IF(4&lt;MAX(1,ROUNDUP(Assumptions!$C$9/30,0)),C13+C12,0),IF(3&lt;MAX(1,ROUNDUP(Assumptions!$C$9/30,0)),D13+D12,0),IF(2&lt;MAX(1,ROUNDUP(Assumptions!$C$9/30,0)),E13+E12,0),IF(1&lt;MAX(1,ROUNDUP(Assumptions!$C$9/30,0)),F13+F12,0),IF(0&lt;MAX(1,ROUNDUP(Assumptions!$C$9/30,0)),G13+G12,0))</f>
        <v>14.586597764927999</v>
      </c>
      <c r="H41" s="14">
        <f>SUM(IF(5&lt;MAX(1,ROUNDUP(Assumptions!$C$9/30,0)),C13+C12,0),IF(4&lt;MAX(1,ROUNDUP(Assumptions!$C$9/30,0)),D13+D12,0),IF(3&lt;MAX(1,ROUNDUP(Assumptions!$C$9/30,0)),E13+E12,0),IF(2&lt;MAX(1,ROUNDUP(Assumptions!$C$9/30,0)),F13+F12,0),IF(1&lt;MAX(1,ROUNDUP(Assumptions!$C$9/30,0)),G13+G12,0),IF(0&lt;MAX(1,ROUNDUP(Assumptions!$C$9/30,0)),H13+H12,0))</f>
        <v>15.315422662253953</v>
      </c>
      <c r="I41" s="14">
        <f>SUM(IF(6&lt;MAX(1,ROUNDUP(Assumptions!$C$9/30,0)),C13+C12,0),IF(5&lt;MAX(1,ROUNDUP(Assumptions!$C$9/30,0)),D13+D12,0),IF(4&lt;MAX(1,ROUNDUP(Assumptions!$C$9/30,0)),E13+E12,0),IF(3&lt;MAX(1,ROUNDUP(Assumptions!$C$9/30,0)),F13+F12,0),IF(2&lt;MAX(1,ROUNDUP(Assumptions!$C$9/30,0)),G13+G12,0),IF(1&lt;MAX(1,ROUNDUP(Assumptions!$C$9/30,0)),H13+H12,0),IF(0&lt;MAX(1,ROUNDUP(Assumptions!$C$9/30,0)),I13+I12,0))</f>
        <v>16.081151376129331</v>
      </c>
      <c r="J41" s="14">
        <f>SUM(IF(7&lt;MAX(1,ROUNDUP(Assumptions!$C$9/30,0)),C13+C12,0),IF(6&lt;MAX(1,ROUNDUP(Assumptions!$C$9/30,0)),D13+D12,0),IF(5&lt;MAX(1,ROUNDUP(Assumptions!$C$9/30,0)),E13+E12,0),IF(4&lt;MAX(1,ROUNDUP(Assumptions!$C$9/30,0)),F13+F12,0),IF(3&lt;MAX(1,ROUNDUP(Assumptions!$C$9/30,0)),G13+G12,0),IF(2&lt;MAX(1,ROUNDUP(Assumptions!$C$9/30,0)),H13+H12,0),IF(1&lt;MAX(1,ROUNDUP(Assumptions!$C$9/30,0)),I13+I12,0),IF(0&lt;MAX(1,ROUNDUP(Assumptions!$C$9/30,0)),J13+J12,0))</f>
        <v>16.885205381719867</v>
      </c>
      <c r="K41" s="14">
        <f>SUM(IF(8&lt;MAX(1,ROUNDUP(Assumptions!$C$9/30,0)),C13+C12,0),IF(7&lt;MAX(1,ROUNDUP(Assumptions!$C$9/30,0)),D13+D12,0),IF(6&lt;MAX(1,ROUNDUP(Assumptions!$C$9/30,0)),E13+E12,0),IF(5&lt;MAX(1,ROUNDUP(Assumptions!$C$9/30,0)),F13+F12,0),IF(4&lt;MAX(1,ROUNDUP(Assumptions!$C$9/30,0)),G13+G12,0),IF(3&lt;MAX(1,ROUNDUP(Assumptions!$C$9/30,0)),H13+H12,0),IF(2&lt;MAX(1,ROUNDUP(Assumptions!$C$9/30,0)),I13+I12,0),IF(1&lt;MAX(1,ROUNDUP(Assumptions!$C$9/30,0)),J13+J12,0),IF(0&lt;MAX(1,ROUNDUP(Assumptions!$C$9/30,0)),K13+K12,0))</f>
        <v>17.729465351495715</v>
      </c>
      <c r="L41" s="14">
        <f>SUM(IF(9&lt;MAX(1,ROUNDUP(Assumptions!$C$9/30,0)),C13+C12,0),IF(8&lt;MAX(1,ROUNDUP(Assumptions!$C$9/30,0)),D13+D12,0),IF(7&lt;MAX(1,ROUNDUP(Assumptions!$C$9/30,0)),E13+E12,0),IF(6&lt;MAX(1,ROUNDUP(Assumptions!$C$9/30,0)),F13+F12,0),IF(5&lt;MAX(1,ROUNDUP(Assumptions!$C$9/30,0)),G13+G12,0),IF(4&lt;MAX(1,ROUNDUP(Assumptions!$C$9/30,0)),H13+H12,0),IF(3&lt;MAX(1,ROUNDUP(Assumptions!$C$9/30,0)),I13+I12,0),IF(2&lt;MAX(1,ROUNDUP(Assumptions!$C$9/30,0)),J13+J12,0),IF(1&lt;MAX(1,ROUNDUP(Assumptions!$C$9/30,0)),K13+K12,0),IF(0&lt;MAX(1,ROUNDUP(Assumptions!$C$9/30,0)),L13+L12,0))</f>
        <v>18.615938593928455</v>
      </c>
      <c r="M41" s="14">
        <f>SUM(IF(10&lt;MAX(1,ROUNDUP(Assumptions!$C$9/30,0)),C13+C12,0),IF(9&lt;MAX(1,ROUNDUP(Assumptions!$C$9/30,0)),D13+D12,0),IF(8&lt;MAX(1,ROUNDUP(Assumptions!$C$9/30,0)),E13+E12,0),IF(7&lt;MAX(1,ROUNDUP(Assumptions!$C$9/30,0)),F13+F12,0),IF(6&lt;MAX(1,ROUNDUP(Assumptions!$C$9/30,0)),G13+G12,0),IF(5&lt;MAX(1,ROUNDUP(Assumptions!$C$9/30,0)),H13+H12,0),IF(4&lt;MAX(1,ROUNDUP(Assumptions!$C$9/30,0)),I13+I12,0),IF(3&lt;MAX(1,ROUNDUP(Assumptions!$C$9/30,0)),J13+J12,0),IF(2&lt;MAX(1,ROUNDUP(Assumptions!$C$9/30,0)),K13+K12,0),IF(1&lt;MAX(1,ROUNDUP(Assumptions!$C$9/30,0)),L13+L12,0),IF(0&lt;MAX(1,ROUNDUP(Assumptions!$C$9/30,0)),M13+M12,0))</f>
        <v>19.546735521512947</v>
      </c>
      <c r="N41" s="14">
        <f>SUM(IF(11&lt;MAX(1,ROUNDUP(Assumptions!$C$9/30,0)),C13+C12,0),IF(10&lt;MAX(1,ROUNDUP(Assumptions!$C$9/30,0)),D13+D12,0),IF(9&lt;MAX(1,ROUNDUP(Assumptions!$C$9/30,0)),E13+E12,0),IF(8&lt;MAX(1,ROUNDUP(Assumptions!$C$9/30,0)),F13+F12,0),IF(7&lt;MAX(1,ROUNDUP(Assumptions!$C$9/30,0)),G13+G12,0),IF(6&lt;MAX(1,ROUNDUP(Assumptions!$C$9/30,0)),H13+H12,0),IF(5&lt;MAX(1,ROUNDUP(Assumptions!$C$9/30,0)),I13+I12,0),IF(4&lt;MAX(1,ROUNDUP(Assumptions!$C$9/30,0)),J13+J12,0),IF(3&lt;MAX(1,ROUNDUP(Assumptions!$C$9/30,0)),K13+K12,0),IF(2&lt;MAX(1,ROUNDUP(Assumptions!$C$9/30,0)),L13+L12,0),IF(1&lt;MAX(1,ROUNDUP(Assumptions!$C$9/30,0)),M13+M12,0),IF(0&lt;MAX(1,ROUNDUP(Assumptions!$C$9/30,0)),N13+N12,0))</f>
        <v>20.524072297411191</v>
      </c>
      <c r="O41" s="14">
        <f>SUM(IF(12&lt;MAX(1,ROUNDUP(Assumptions!$C$9/30,0)),C13+C12,0),IF(11&lt;MAX(1,ROUNDUP(Assumptions!$C$9/30,0)),D13+D12,0),IF(10&lt;MAX(1,ROUNDUP(Assumptions!$C$9/30,0)),E13+E12,0),IF(9&lt;MAX(1,ROUNDUP(Assumptions!$C$9/30,0)),F13+F12,0),IF(8&lt;MAX(1,ROUNDUP(Assumptions!$C$9/30,0)),G13+G12,0),IF(7&lt;MAX(1,ROUNDUP(Assumptions!$C$9/30,0)),H13+H12,0),IF(6&lt;MAX(1,ROUNDUP(Assumptions!$C$9/30,0)),I13+I12,0),IF(5&lt;MAX(1,ROUNDUP(Assumptions!$C$9/30,0)),J13+J12,0),IF(4&lt;MAX(1,ROUNDUP(Assumptions!$C$9/30,0)),K13+K12,0),IF(3&lt;MAX(1,ROUNDUP(Assumptions!$C$9/30,0)),L13+L12,0),IF(2&lt;MAX(1,ROUNDUP(Assumptions!$C$9/30,0)),M13+M12,0),IF(1&lt;MAX(1,ROUNDUP(Assumptions!$C$9/30,0)),N13+N12,0),IF(0&lt;MAX(1,ROUNDUP(Assumptions!$C$9/30,0)),O13+O12,0))</f>
        <v>21.550275912266848</v>
      </c>
      <c r="P41" s="14">
        <f>SUM(IF(13&lt;MAX(1,ROUNDUP(Assumptions!$C$9/30,0)),C13+C12,0),IF(12&lt;MAX(1,ROUNDUP(Assumptions!$C$9/30,0)),D13+D12,0),IF(11&lt;MAX(1,ROUNDUP(Assumptions!$C$9/30,0)),E13+E12,0),IF(10&lt;MAX(1,ROUNDUP(Assumptions!$C$9/30,0)),F13+F12,0),IF(9&lt;MAX(1,ROUNDUP(Assumptions!$C$9/30,0)),G13+G12,0),IF(8&lt;MAX(1,ROUNDUP(Assumptions!$C$9/30,0)),H13+H12,0),IF(7&lt;MAX(1,ROUNDUP(Assumptions!$C$9/30,0)),I13+I12,0),IF(6&lt;MAX(1,ROUNDUP(Assumptions!$C$9/30,0)),J13+J12,0),IF(5&lt;MAX(1,ROUNDUP(Assumptions!$C$9/30,0)),K13+K12,0),IF(4&lt;MAX(1,ROUNDUP(Assumptions!$C$9/30,0)),L13+L12,0),IF(3&lt;MAX(1,ROUNDUP(Assumptions!$C$9/30,0)),M13+M12,0),IF(2&lt;MAX(1,ROUNDUP(Assumptions!$C$9/30,0)),N13+N12,0),IF(1&lt;MAX(1,ROUNDUP(Assumptions!$C$9/30,0)),O13+O12,0),IF(0&lt;MAX(1,ROUNDUP(Assumptions!$C$9/30,0)),P13+P12,0))</f>
        <v>22.627789707878939</v>
      </c>
      <c r="Q41" s="14">
        <f>SUM(IF(14&lt;MAX(1,ROUNDUP(Assumptions!$C$9/30,0)),C13+C12,0),IF(13&lt;MAX(1,ROUNDUP(Assumptions!$C$9/30,0)),D13+D12,0),IF(12&lt;MAX(1,ROUNDUP(Assumptions!$C$9/30,0)),E13+E12,0),IF(11&lt;MAX(1,ROUNDUP(Assumptions!$C$9/30,0)),F13+F12,0),IF(10&lt;MAX(1,ROUNDUP(Assumptions!$C$9/30,0)),G13+G12,0),IF(9&lt;MAX(1,ROUNDUP(Assumptions!$C$9/30,0)),H13+H12,0),IF(8&lt;MAX(1,ROUNDUP(Assumptions!$C$9/30,0)),I13+I12,0),IF(7&lt;MAX(1,ROUNDUP(Assumptions!$C$9/30,0)),J13+J12,0),IF(6&lt;MAX(1,ROUNDUP(Assumptions!$C$9/30,0)),K13+K12,0),IF(5&lt;MAX(1,ROUNDUP(Assumptions!$C$9/30,0)),L13+L12,0),IF(4&lt;MAX(1,ROUNDUP(Assumptions!$C$9/30,0)),M13+M12,0),IF(3&lt;MAX(1,ROUNDUP(Assumptions!$C$9/30,0)),N13+N12,0),IF(2&lt;MAX(1,ROUNDUP(Assumptions!$C$9/30,0)),O13+O12,0),IF(1&lt;MAX(1,ROUNDUP(Assumptions!$C$9/30,0)),P13+P12,0),IF(0&lt;MAX(1,ROUNDUP(Assumptions!$C$9/30,0)),Q13+Q12,0))</f>
        <v>23.759179193272775</v>
      </c>
      <c r="R41" s="14">
        <f>SUM(IF(15&lt;MAX(1,ROUNDUP(Assumptions!$C$9/30,0)),C13+C12,0),IF(14&lt;MAX(1,ROUNDUP(Assumptions!$C$9/30,0)),D13+D12,0),IF(13&lt;MAX(1,ROUNDUP(Assumptions!$C$9/30,0)),E13+E12,0),IF(12&lt;MAX(1,ROUNDUP(Assumptions!$C$9/30,0)),F13+F12,0),IF(11&lt;MAX(1,ROUNDUP(Assumptions!$C$9/30,0)),G13+G12,0),IF(10&lt;MAX(1,ROUNDUP(Assumptions!$C$9/30,0)),H13+H12,0),IF(9&lt;MAX(1,ROUNDUP(Assumptions!$C$9/30,0)),I13+I12,0),IF(8&lt;MAX(1,ROUNDUP(Assumptions!$C$9/30,0)),J13+J12,0),IF(7&lt;MAX(1,ROUNDUP(Assumptions!$C$9/30,0)),K13+K12,0),IF(6&lt;MAX(1,ROUNDUP(Assumptions!$C$9/30,0)),L13+L12,0),IF(5&lt;MAX(1,ROUNDUP(Assumptions!$C$9/30,0)),M13+M12,0),IF(4&lt;MAX(1,ROUNDUP(Assumptions!$C$9/30,0)),N13+N12,0),IF(3&lt;MAX(1,ROUNDUP(Assumptions!$C$9/30,0)),O13+O12,0),IF(2&lt;MAX(1,ROUNDUP(Assumptions!$C$9/30,0)),P13+P12,0),IF(1&lt;MAX(1,ROUNDUP(Assumptions!$C$9/30,0)),Q13+Q12,0),IF(0&lt;MAX(1,ROUNDUP(Assumptions!$C$9/30,0)),R13+R12,0))</f>
        <v>24.947138152936411</v>
      </c>
      <c r="S41" s="14">
        <f>SUM(IF(16&lt;MAX(1,ROUNDUP(Assumptions!$C$9/30,0)),C13+C12,0),IF(15&lt;MAX(1,ROUNDUP(Assumptions!$C$9/30,0)),D13+D12,0),IF(14&lt;MAX(1,ROUNDUP(Assumptions!$C$9/30,0)),E13+E12,0),IF(13&lt;MAX(1,ROUNDUP(Assumptions!$C$9/30,0)),F13+F12,0),IF(12&lt;MAX(1,ROUNDUP(Assumptions!$C$9/30,0)),G13+G12,0),IF(11&lt;MAX(1,ROUNDUP(Assumptions!$C$9/30,0)),H13+H12,0),IF(10&lt;MAX(1,ROUNDUP(Assumptions!$C$9/30,0)),I13+I12,0),IF(9&lt;MAX(1,ROUNDUP(Assumptions!$C$9/30,0)),J13+J12,0),IF(8&lt;MAX(1,ROUNDUP(Assumptions!$C$9/30,0)),K13+K12,0),IF(7&lt;MAX(1,ROUNDUP(Assumptions!$C$9/30,0)),L13+L12,0),IF(6&lt;MAX(1,ROUNDUP(Assumptions!$C$9/30,0)),M13+M12,0),IF(5&lt;MAX(1,ROUNDUP(Assumptions!$C$9/30,0)),N13+N12,0),IF(4&lt;MAX(1,ROUNDUP(Assumptions!$C$9/30,0)),O13+O12,0),IF(3&lt;MAX(1,ROUNDUP(Assumptions!$C$9/30,0)),P13+P12,0),IF(2&lt;MAX(1,ROUNDUP(Assumptions!$C$9/30,0)),Q13+Q12,0),IF(1&lt;MAX(1,ROUNDUP(Assumptions!$C$9/30,0)),R13+R12,0),IF(0&lt;MAX(1,ROUNDUP(Assumptions!$C$9/30,0)),S13+S12,0))</f>
        <v>26.194495060583229</v>
      </c>
      <c r="T41" s="14">
        <f>SUM(IF(17&lt;MAX(1,ROUNDUP(Assumptions!$C$9/30,0)),C13+C12,0),IF(16&lt;MAX(1,ROUNDUP(Assumptions!$C$9/30,0)),D13+D12,0),IF(15&lt;MAX(1,ROUNDUP(Assumptions!$C$9/30,0)),E13+E12,0),IF(14&lt;MAX(1,ROUNDUP(Assumptions!$C$9/30,0)),F13+F12,0),IF(13&lt;MAX(1,ROUNDUP(Assumptions!$C$9/30,0)),G13+G12,0),IF(12&lt;MAX(1,ROUNDUP(Assumptions!$C$9/30,0)),H13+H12,0),IF(11&lt;MAX(1,ROUNDUP(Assumptions!$C$9/30,0)),I13+I12,0),IF(10&lt;MAX(1,ROUNDUP(Assumptions!$C$9/30,0)),J13+J12,0),IF(9&lt;MAX(1,ROUNDUP(Assumptions!$C$9/30,0)),K13+K12,0),IF(8&lt;MAX(1,ROUNDUP(Assumptions!$C$9/30,0)),L13+L12,0),IF(7&lt;MAX(1,ROUNDUP(Assumptions!$C$9/30,0)),M13+M12,0),IF(6&lt;MAX(1,ROUNDUP(Assumptions!$C$9/30,0)),N13+N12,0),IF(5&lt;MAX(1,ROUNDUP(Assumptions!$C$9/30,0)),O13+O12,0),IF(4&lt;MAX(1,ROUNDUP(Assumptions!$C$9/30,0)),P13+P12,0),IF(3&lt;MAX(1,ROUNDUP(Assumptions!$C$9/30,0)),Q13+Q12,0),IF(2&lt;MAX(1,ROUNDUP(Assumptions!$C$9/30,0)),R13+R12,0),IF(1&lt;MAX(1,ROUNDUP(Assumptions!$C$9/30,0)),S13+S12,0),IF(0&lt;MAX(1,ROUNDUP(Assumptions!$C$9/30,0)),T13+T12,0))</f>
        <v>27.504219813612398</v>
      </c>
      <c r="U41" s="14">
        <f>SUM(IF(18&lt;MAX(1,ROUNDUP(Assumptions!$C$9/30,0)),C13+C12,0),IF(17&lt;MAX(1,ROUNDUP(Assumptions!$C$9/30,0)),D13+D12,0),IF(16&lt;MAX(1,ROUNDUP(Assumptions!$C$9/30,0)),E13+E12,0),IF(15&lt;MAX(1,ROUNDUP(Assumptions!$C$9/30,0)),F13+F12,0),IF(14&lt;MAX(1,ROUNDUP(Assumptions!$C$9/30,0)),G13+G12,0),IF(13&lt;MAX(1,ROUNDUP(Assumptions!$C$9/30,0)),H13+H12,0),IF(12&lt;MAX(1,ROUNDUP(Assumptions!$C$9/30,0)),I13+I12,0),IF(11&lt;MAX(1,ROUNDUP(Assumptions!$C$9/30,0)),J13+J12,0),IF(10&lt;MAX(1,ROUNDUP(Assumptions!$C$9/30,0)),K13+K12,0),IF(9&lt;MAX(1,ROUNDUP(Assumptions!$C$9/30,0)),L13+L12,0),IF(8&lt;MAX(1,ROUNDUP(Assumptions!$C$9/30,0)),M13+M12,0),IF(7&lt;MAX(1,ROUNDUP(Assumptions!$C$9/30,0)),N13+N12,0),IF(6&lt;MAX(1,ROUNDUP(Assumptions!$C$9/30,0)),O13+O12,0),IF(5&lt;MAX(1,ROUNDUP(Assumptions!$C$9/30,0)),P13+P12,0),IF(4&lt;MAX(1,ROUNDUP(Assumptions!$C$9/30,0)),Q13+Q12,0),IF(3&lt;MAX(1,ROUNDUP(Assumptions!$C$9/30,0)),R13+R12,0),IF(2&lt;MAX(1,ROUNDUP(Assumptions!$C$9/30,0)),S13+S12,0),IF(1&lt;MAX(1,ROUNDUP(Assumptions!$C$9/30,0)),T13+T12,0),IF(0&lt;MAX(1,ROUNDUP(Assumptions!$C$9/30,0)),U13+U12,0))</f>
        <v>28.879430804293015</v>
      </c>
      <c r="V41" s="14">
        <f>SUM(IF(19&lt;MAX(1,ROUNDUP(Assumptions!$C$9/30,0)),C13+C12,0),IF(18&lt;MAX(1,ROUNDUP(Assumptions!$C$9/30,0)),D13+D12,0),IF(17&lt;MAX(1,ROUNDUP(Assumptions!$C$9/30,0)),E13+E12,0),IF(16&lt;MAX(1,ROUNDUP(Assumptions!$C$9/30,0)),F13+F12,0),IF(15&lt;MAX(1,ROUNDUP(Assumptions!$C$9/30,0)),G13+G12,0),IF(14&lt;MAX(1,ROUNDUP(Assumptions!$C$9/30,0)),H13+H12,0),IF(13&lt;MAX(1,ROUNDUP(Assumptions!$C$9/30,0)),I13+I12,0),IF(12&lt;MAX(1,ROUNDUP(Assumptions!$C$9/30,0)),J13+J12,0),IF(11&lt;MAX(1,ROUNDUP(Assumptions!$C$9/30,0)),K13+K12,0),IF(10&lt;MAX(1,ROUNDUP(Assumptions!$C$9/30,0)),L13+L12,0),IF(9&lt;MAX(1,ROUNDUP(Assumptions!$C$9/30,0)),M13+M12,0),IF(8&lt;MAX(1,ROUNDUP(Assumptions!$C$9/30,0)),N13+N12,0),IF(7&lt;MAX(1,ROUNDUP(Assumptions!$C$9/30,0)),O13+O12,0),IF(6&lt;MAX(1,ROUNDUP(Assumptions!$C$9/30,0)),P13+P12,0),IF(5&lt;MAX(1,ROUNDUP(Assumptions!$C$9/30,0)),Q13+Q12,0),IF(4&lt;MAX(1,ROUNDUP(Assumptions!$C$9/30,0)),R13+R12,0),IF(3&lt;MAX(1,ROUNDUP(Assumptions!$C$9/30,0)),S13+S12,0),IF(2&lt;MAX(1,ROUNDUP(Assumptions!$C$9/30,0)),T13+T12,0),IF(1&lt;MAX(1,ROUNDUP(Assumptions!$C$9/30,0)),U13+U12,0),IF(0&lt;MAX(1,ROUNDUP(Assumptions!$C$9/30,0)),V13+V12,0))</f>
        <v>30.323402344507667</v>
      </c>
      <c r="W41" s="14">
        <f>SUM(IF(20&lt;MAX(1,ROUNDUP(Assumptions!$C$9/30,0)),C13+C12,0),IF(19&lt;MAX(1,ROUNDUP(Assumptions!$C$9/30,0)),D13+D12,0),IF(18&lt;MAX(1,ROUNDUP(Assumptions!$C$9/30,0)),E13+E12,0),IF(17&lt;MAX(1,ROUNDUP(Assumptions!$C$9/30,0)),F13+F12,0),IF(16&lt;MAX(1,ROUNDUP(Assumptions!$C$9/30,0)),G13+G12,0),IF(15&lt;MAX(1,ROUNDUP(Assumptions!$C$9/30,0)),H13+H12,0),IF(14&lt;MAX(1,ROUNDUP(Assumptions!$C$9/30,0)),I13+I12,0),IF(13&lt;MAX(1,ROUNDUP(Assumptions!$C$9/30,0)),J13+J12,0),IF(12&lt;MAX(1,ROUNDUP(Assumptions!$C$9/30,0)),K13+K12,0),IF(11&lt;MAX(1,ROUNDUP(Assumptions!$C$9/30,0)),L13+L12,0),IF(10&lt;MAX(1,ROUNDUP(Assumptions!$C$9/30,0)),M13+M12,0),IF(9&lt;MAX(1,ROUNDUP(Assumptions!$C$9/30,0)),N13+N12,0),IF(8&lt;MAX(1,ROUNDUP(Assumptions!$C$9/30,0)),O13+O12,0),IF(7&lt;MAX(1,ROUNDUP(Assumptions!$C$9/30,0)),P13+P12,0),IF(6&lt;MAX(1,ROUNDUP(Assumptions!$C$9/30,0)),Q13+Q12,0),IF(5&lt;MAX(1,ROUNDUP(Assumptions!$C$9/30,0)),R13+R12,0),IF(4&lt;MAX(1,ROUNDUP(Assumptions!$C$9/30,0)),S13+S12,0),IF(3&lt;MAX(1,ROUNDUP(Assumptions!$C$9/30,0)),T13+T12,0),IF(2&lt;MAX(1,ROUNDUP(Assumptions!$C$9/30,0)),U13+U12,0),IF(1&lt;MAX(1,ROUNDUP(Assumptions!$C$9/30,0)),V13+V12,0),IF(0&lt;MAX(1,ROUNDUP(Assumptions!$C$9/30,0)),W13+W12,0))</f>
        <v>31.839572461733049</v>
      </c>
      <c r="X41" s="14">
        <f>SUM(IF(21&lt;MAX(1,ROUNDUP(Assumptions!$C$9/30,0)),C13+C12,0),IF(20&lt;MAX(1,ROUNDUP(Assumptions!$C$9/30,0)),D13+D12,0),IF(19&lt;MAX(1,ROUNDUP(Assumptions!$C$9/30,0)),E13+E12,0),IF(18&lt;MAX(1,ROUNDUP(Assumptions!$C$9/30,0)),F13+F12,0),IF(17&lt;MAX(1,ROUNDUP(Assumptions!$C$9/30,0)),G13+G12,0),IF(16&lt;MAX(1,ROUNDUP(Assumptions!$C$9/30,0)),H13+H12,0),IF(15&lt;MAX(1,ROUNDUP(Assumptions!$C$9/30,0)),I13+I12,0),IF(14&lt;MAX(1,ROUNDUP(Assumptions!$C$9/30,0)),J13+J12,0),IF(13&lt;MAX(1,ROUNDUP(Assumptions!$C$9/30,0)),K13+K12,0),IF(12&lt;MAX(1,ROUNDUP(Assumptions!$C$9/30,0)),L13+L12,0),IF(11&lt;MAX(1,ROUNDUP(Assumptions!$C$9/30,0)),M13+M12,0),IF(10&lt;MAX(1,ROUNDUP(Assumptions!$C$9/30,0)),N13+N12,0),IF(9&lt;MAX(1,ROUNDUP(Assumptions!$C$9/30,0)),O13+O12,0),IF(8&lt;MAX(1,ROUNDUP(Assumptions!$C$9/30,0)),P13+P12,0),IF(7&lt;MAX(1,ROUNDUP(Assumptions!$C$9/30,0)),Q13+Q12,0),IF(6&lt;MAX(1,ROUNDUP(Assumptions!$C$9/30,0)),R13+R12,0),IF(5&lt;MAX(1,ROUNDUP(Assumptions!$C$9/30,0)),S13+S12,0),IF(4&lt;MAX(1,ROUNDUP(Assumptions!$C$9/30,0)),T13+T12,0),IF(3&lt;MAX(1,ROUNDUP(Assumptions!$C$9/30,0)),U13+U12,0),IF(2&lt;MAX(1,ROUNDUP(Assumptions!$C$9/30,0)),V13+V12,0),IF(1&lt;MAX(1,ROUNDUP(Assumptions!$C$9/30,0)),W13+W12,0),IF(0&lt;MAX(1,ROUNDUP(Assumptions!$C$9/30,0)),X13+X12,0))</f>
        <v>33.431551084819702</v>
      </c>
      <c r="Y41" s="14">
        <f>SUM(IF(22&lt;MAX(1,ROUNDUP(Assumptions!$C$9/30,0)),C13+C12,0),IF(21&lt;MAX(1,ROUNDUP(Assumptions!$C$9/30,0)),D13+D12,0),IF(20&lt;MAX(1,ROUNDUP(Assumptions!$C$9/30,0)),E13+E12,0),IF(19&lt;MAX(1,ROUNDUP(Assumptions!$C$9/30,0)),F13+F12,0),IF(18&lt;MAX(1,ROUNDUP(Assumptions!$C$9/30,0)),G13+G12,0),IF(17&lt;MAX(1,ROUNDUP(Assumptions!$C$9/30,0)),H13+H12,0),IF(16&lt;MAX(1,ROUNDUP(Assumptions!$C$9/30,0)),I13+I12,0),IF(15&lt;MAX(1,ROUNDUP(Assumptions!$C$9/30,0)),J13+J12,0),IF(14&lt;MAX(1,ROUNDUP(Assumptions!$C$9/30,0)),K13+K12,0),IF(13&lt;MAX(1,ROUNDUP(Assumptions!$C$9/30,0)),L13+L12,0),IF(12&lt;MAX(1,ROUNDUP(Assumptions!$C$9/30,0)),M13+M12,0),IF(11&lt;MAX(1,ROUNDUP(Assumptions!$C$9/30,0)),N13+N12,0),IF(10&lt;MAX(1,ROUNDUP(Assumptions!$C$9/30,0)),O13+O12,0),IF(9&lt;MAX(1,ROUNDUP(Assumptions!$C$9/30,0)),P13+P12,0),IF(8&lt;MAX(1,ROUNDUP(Assumptions!$C$9/30,0)),Q13+Q12,0),IF(7&lt;MAX(1,ROUNDUP(Assumptions!$C$9/30,0)),R13+R12,0),IF(6&lt;MAX(1,ROUNDUP(Assumptions!$C$9/30,0)),S13+S12,0),IF(5&lt;MAX(1,ROUNDUP(Assumptions!$C$9/30,0)),T13+T12,0),IF(4&lt;MAX(1,ROUNDUP(Assumptions!$C$9/30,0)),U13+U12,0),IF(3&lt;MAX(1,ROUNDUP(Assumptions!$C$9/30,0)),V13+V12,0),IF(2&lt;MAX(1,ROUNDUP(Assumptions!$C$9/30,0)),W13+W12,0),IF(1&lt;MAX(1,ROUNDUP(Assumptions!$C$9/30,0)),X13+X12,0),IF(0&lt;MAX(1,ROUNDUP(Assumptions!$C$9/30,0)),Y13+Y12,0))</f>
        <v>35.103128639060685</v>
      </c>
      <c r="Z41" s="14">
        <f>SUM(IF(23&lt;MAX(1,ROUNDUP(Assumptions!$C$9/30,0)),C13+C12,0),IF(22&lt;MAX(1,ROUNDUP(Assumptions!$C$9/30,0)),D13+D12,0),IF(21&lt;MAX(1,ROUNDUP(Assumptions!$C$9/30,0)),E13+E12,0),IF(20&lt;MAX(1,ROUNDUP(Assumptions!$C$9/30,0)),F13+F12,0),IF(19&lt;MAX(1,ROUNDUP(Assumptions!$C$9/30,0)),G13+G12,0),IF(18&lt;MAX(1,ROUNDUP(Assumptions!$C$9/30,0)),H13+H12,0),IF(17&lt;MAX(1,ROUNDUP(Assumptions!$C$9/30,0)),I13+I12,0),IF(16&lt;MAX(1,ROUNDUP(Assumptions!$C$9/30,0)),J13+J12,0),IF(15&lt;MAX(1,ROUNDUP(Assumptions!$C$9/30,0)),K13+K12,0),IF(14&lt;MAX(1,ROUNDUP(Assumptions!$C$9/30,0)),L13+L12,0),IF(13&lt;MAX(1,ROUNDUP(Assumptions!$C$9/30,0)),M13+M12,0),IF(12&lt;MAX(1,ROUNDUP(Assumptions!$C$9/30,0)),N13+N12,0),IF(11&lt;MAX(1,ROUNDUP(Assumptions!$C$9/30,0)),O13+O12,0),IF(10&lt;MAX(1,ROUNDUP(Assumptions!$C$9/30,0)),P13+P12,0),IF(9&lt;MAX(1,ROUNDUP(Assumptions!$C$9/30,0)),Q13+Q12,0),IF(8&lt;MAX(1,ROUNDUP(Assumptions!$C$9/30,0)),R13+R12,0),IF(7&lt;MAX(1,ROUNDUP(Assumptions!$C$9/30,0)),S13+S12,0),IF(6&lt;MAX(1,ROUNDUP(Assumptions!$C$9/30,0)),T13+T12,0),IF(5&lt;MAX(1,ROUNDUP(Assumptions!$C$9/30,0)),U13+U12,0),IF(4&lt;MAX(1,ROUNDUP(Assumptions!$C$9/30,0)),V13+V12,0),IF(3&lt;MAX(1,ROUNDUP(Assumptions!$C$9/30,0)),W13+W12,0),IF(2&lt;MAX(1,ROUNDUP(Assumptions!$C$9/30,0)),X13+X12,0),IF(1&lt;MAX(1,ROUNDUP(Assumptions!$C$9/30,0)),Y13+Y12,0),IF(0&lt;MAX(1,ROUNDUP(Assumptions!$C$9/30,0)),Z13+Z12,0))</f>
        <v>36.858285071013725</v>
      </c>
    </row>
    <row r="42" spans="1:26" ht="16.5" customHeight="1">
      <c r="A42" s="1" t="s">
        <v>272</v>
      </c>
      <c r="B42" s="1" t="s">
        <v>103</v>
      </c>
      <c r="C42" s="14">
        <f>IF(0&lt;Assumptions!$C$12,$C$8,0)</f>
        <v>10.5</v>
      </c>
      <c r="D42" s="14">
        <f>IF(1&lt;Assumptions!$C$12,$C$8,0)</f>
        <v>0</v>
      </c>
      <c r="E42" s="14">
        <f>IF(2&lt;Assumptions!$C$12,$C$8,0)</f>
        <v>0</v>
      </c>
      <c r="F42" s="14">
        <f>IF(3&lt;Assumptions!$C$12,$C$8,0)</f>
        <v>0</v>
      </c>
      <c r="G42" s="14">
        <f>IF(4&lt;Assumptions!$C$12,$C$8,0)</f>
        <v>0</v>
      </c>
      <c r="H42" s="14">
        <f>IF(5&lt;Assumptions!$C$12,$C$8,0)</f>
        <v>0</v>
      </c>
      <c r="I42" s="14">
        <f>IF(6&lt;Assumptions!$C$12,$C$8,0)</f>
        <v>0</v>
      </c>
      <c r="J42" s="14">
        <f>IF(7&lt;Assumptions!$C$12,$C$8,0)</f>
        <v>0</v>
      </c>
      <c r="K42" s="14">
        <f>IF(8&lt;Assumptions!$C$12,$C$8,0)</f>
        <v>0</v>
      </c>
      <c r="L42" s="14">
        <f>IF(9&lt;Assumptions!$C$12,$C$8,0)</f>
        <v>0</v>
      </c>
      <c r="M42" s="14">
        <f>IF(10&lt;Assumptions!$C$12,$C$8,0)</f>
        <v>0</v>
      </c>
      <c r="N42" s="14">
        <f>IF(11&lt;Assumptions!$C$12,$C$8,0)</f>
        <v>0</v>
      </c>
      <c r="O42" s="14">
        <f>IF(12&lt;Assumptions!$C$12,$C$8,0)</f>
        <v>0</v>
      </c>
      <c r="P42" s="14">
        <f>IF(13&lt;Assumptions!$C$12,$C$8,0)</f>
        <v>0</v>
      </c>
      <c r="Q42" s="14">
        <f>IF(14&lt;Assumptions!$C$12,$C$8,0)</f>
        <v>0</v>
      </c>
      <c r="R42" s="14">
        <f>IF(15&lt;Assumptions!$C$12,$C$8,0)</f>
        <v>0</v>
      </c>
      <c r="S42" s="14">
        <f>IF(16&lt;Assumptions!$C$12,$C$8,0)</f>
        <v>0</v>
      </c>
      <c r="T42" s="14">
        <f>IF(17&lt;Assumptions!$C$12,$C$8,0)</f>
        <v>0</v>
      </c>
      <c r="U42" s="14">
        <f>IF(18&lt;Assumptions!$C$12,$C$8,0)</f>
        <v>0</v>
      </c>
      <c r="V42" s="14">
        <f>IF(19&lt;Assumptions!$C$12,$C$8,0)</f>
        <v>0</v>
      </c>
      <c r="W42" s="14">
        <f>IF(20&lt;Assumptions!$C$12,$C$8,0)</f>
        <v>0</v>
      </c>
      <c r="X42" s="14">
        <f>IF(21&lt;Assumptions!$C$12,$C$8,0)</f>
        <v>0</v>
      </c>
      <c r="Y42" s="14">
        <f>IF(22&lt;Assumptions!$C$12,$C$8,0)</f>
        <v>0</v>
      </c>
      <c r="Z42" s="14">
        <f>IF(23&lt;Assumptions!$C$12,$C$8,0)</f>
        <v>0</v>
      </c>
    </row>
    <row r="43" spans="1:26" ht="16.5" customHeight="1">
      <c r="A43" s="1" t="s">
        <v>273</v>
      </c>
      <c r="B43" s="1" t="s">
        <v>103</v>
      </c>
      <c r="C43" s="14">
        <f>C10*(Assumptions!$C$22*Assumptions!$C$23)^Assumptions!$C$11</f>
        <v>0</v>
      </c>
      <c r="D43" s="14">
        <f>D10*(Assumptions!$C$22*Assumptions!$C$23)^Assumptions!$C$11</f>
        <v>9.2609999999999984E-2</v>
      </c>
      <c r="E43" s="14">
        <f>E10*(Assumptions!$C$22*Assumptions!$C$23)^Assumptions!$C$11</f>
        <v>7.7792399999999989E-3</v>
      </c>
      <c r="F43" s="14">
        <f>F10*(Assumptions!$C$22*Assumptions!$C$23)^Assumptions!$C$11</f>
        <v>6.5345615999999986E-4</v>
      </c>
      <c r="G43" s="14">
        <f>G10*(Assumptions!$C$22*Assumptions!$C$23)^Assumptions!$C$11</f>
        <v>5.4890317439999997E-5</v>
      </c>
      <c r="H43" s="14">
        <f>H10*(Assumptions!$C$22*Assumptions!$C$23)^Assumptions!$C$11</f>
        <v>4.6107866649599991E-6</v>
      </c>
      <c r="I43" s="14">
        <f>I10*(Assumptions!$C$22*Assumptions!$C$23)^Assumptions!$C$11</f>
        <v>3.8730607985663995E-7</v>
      </c>
      <c r="J43" s="14">
        <f>J10*(Assumptions!$C$22*Assumptions!$C$23)^Assumptions!$C$11</f>
        <v>3.2533710707957746E-8</v>
      </c>
      <c r="K43" s="14">
        <f>K10*(Assumptions!$C$22*Assumptions!$C$23)^Assumptions!$C$11</f>
        <v>2.7328316994684505E-9</v>
      </c>
      <c r="L43" s="14">
        <f>L10*(Assumptions!$C$22*Assumptions!$C$23)^Assumptions!$C$11</f>
        <v>2.2955786275534985E-10</v>
      </c>
      <c r="M43" s="14">
        <f>M10*(Assumptions!$C$22*Assumptions!$C$23)^Assumptions!$C$11</f>
        <v>1.9282860471449387E-11</v>
      </c>
      <c r="N43" s="14">
        <f>N10*(Assumptions!$C$22*Assumptions!$C$23)^Assumptions!$C$11</f>
        <v>1.6197602796017486E-12</v>
      </c>
      <c r="O43" s="14">
        <f>O10*(Assumptions!$C$22*Assumptions!$C$23)^Assumptions!$C$11</f>
        <v>1.3605986348654687E-13</v>
      </c>
      <c r="P43" s="14">
        <f>P10*(Assumptions!$C$22*Assumptions!$C$23)^Assumptions!$C$11</f>
        <v>1.1429028532869936E-14</v>
      </c>
      <c r="Q43" s="14">
        <f>Q10*(Assumptions!$C$22*Assumptions!$C$23)^Assumptions!$C$11</f>
        <v>9.6003839676107459E-16</v>
      </c>
      <c r="R43" s="14">
        <f>R10*(Assumptions!$C$22*Assumptions!$C$23)^Assumptions!$C$11</f>
        <v>8.0643225327930256E-17</v>
      </c>
      <c r="S43" s="14">
        <f>S10*(Assumptions!$C$22*Assumptions!$C$23)^Assumptions!$C$11</f>
        <v>6.7740309275461409E-18</v>
      </c>
      <c r="T43" s="14">
        <f>T10*(Assumptions!$C$22*Assumptions!$C$23)^Assumptions!$C$11</f>
        <v>5.6901859791387589E-19</v>
      </c>
      <c r="U43" s="14">
        <f>U10*(Assumptions!$C$22*Assumptions!$C$23)^Assumptions!$C$11</f>
        <v>4.7797562224765577E-20</v>
      </c>
      <c r="V43" s="14">
        <f>V10*(Assumptions!$C$22*Assumptions!$C$23)^Assumptions!$C$11</f>
        <v>4.0149952268803077E-21</v>
      </c>
      <c r="W43" s="14">
        <f>W10*(Assumptions!$C$22*Assumptions!$C$23)^Assumptions!$C$11</f>
        <v>3.3725959905794587E-22</v>
      </c>
      <c r="X43" s="14">
        <f>X10*(Assumptions!$C$22*Assumptions!$C$23)^Assumptions!$C$11</f>
        <v>2.8329806320867452E-23</v>
      </c>
      <c r="Y43" s="14">
        <f>Y10*(Assumptions!$C$22*Assumptions!$C$23)^Assumptions!$C$11</f>
        <v>2.3797037309528656E-24</v>
      </c>
      <c r="Z43" s="14">
        <f>Z10*(Assumptions!$C$22*Assumptions!$C$23)^Assumptions!$C$11</f>
        <v>1.9989511340004069E-25</v>
      </c>
    </row>
    <row r="44" spans="1:26" ht="16.5" customHeight="1">
      <c r="A44" s="1" t="s">
        <v>274</v>
      </c>
      <c r="B44" s="1" t="s">
        <v>103</v>
      </c>
      <c r="C44" s="14">
        <f>0</f>
        <v>0</v>
      </c>
      <c r="D44" s="14">
        <f>MIN(SUM(IF(1&lt;=Assumptions!$C$13,C43,0))*Assumptions!$C$36,D34)</f>
        <v>0</v>
      </c>
      <c r="E44" s="14">
        <f>MIN(SUM(IF(2&lt;=Assumptions!$C$13,C43,0),IF(1&lt;=Assumptions!$C$13,D43,0))*Assumptions!$C$36,E34)</f>
        <v>6.4826999999999982E-2</v>
      </c>
      <c r="F44" s="14">
        <f>MIN(SUM(IF(3&lt;=Assumptions!$C$13,C43,0),IF(2&lt;=Assumptions!$C$13,D43,0),IF(1&lt;=Assumptions!$C$13,E43,0))*Assumptions!$C$36,F34)</f>
        <v>5.4454679999999993E-3</v>
      </c>
      <c r="G44" s="14">
        <f>MIN(SUM(IF(4&lt;=Assumptions!$C$13,C43,0),IF(3&lt;=Assumptions!$C$13,D43,0),IF(2&lt;=Assumptions!$C$13,E43,0),IF(1&lt;=Assumptions!$C$13,F43,0))*Assumptions!$C$36,G34)</f>
        <v>4.5741931199999987E-4</v>
      </c>
      <c r="H44" s="14">
        <f>MIN(SUM(IF(5&lt;=Assumptions!$C$13,C43,0),IF(4&lt;=Assumptions!$C$13,D43,0),IF(3&lt;=Assumptions!$C$13,E43,0),IF(2&lt;=Assumptions!$C$13,F43,0),IF(1&lt;=Assumptions!$C$13,G43,0))*Assumptions!$C$36,H34)</f>
        <v>3.8423222207999994E-5</v>
      </c>
      <c r="I44" s="14">
        <f>MIN(SUM(IF(6&lt;=Assumptions!$C$13,C43,0),IF(5&lt;=Assumptions!$C$13,D43,0),IF(4&lt;=Assumptions!$C$13,E43,0),IF(3&lt;=Assumptions!$C$13,F43,0),IF(2&lt;=Assumptions!$C$13,G43,0),IF(1&lt;=Assumptions!$C$13,H43,0))*Assumptions!$C$36,I34)</f>
        <v>3.2275506654719993E-6</v>
      </c>
      <c r="J44" s="14">
        <f>MIN(SUM(IF(7&lt;=Assumptions!$C$13,C43,0),IF(6&lt;=Assumptions!$C$13,D43,0),IF(5&lt;=Assumptions!$C$13,E43,0),IF(4&lt;=Assumptions!$C$13,F43,0),IF(3&lt;=Assumptions!$C$13,G43,0),IF(2&lt;=Assumptions!$C$13,H43,0),IF(1&lt;=Assumptions!$C$13,I43,0))*Assumptions!$C$36,J34)</f>
        <v>2.7111425589964796E-7</v>
      </c>
      <c r="K44" s="14">
        <f>MIN(SUM(IF(8&lt;=Assumptions!$C$13,C43,0),IF(7&lt;=Assumptions!$C$13,D43,0),IF(6&lt;=Assumptions!$C$13,E43,0),IF(5&lt;=Assumptions!$C$13,F43,0),IF(4&lt;=Assumptions!$C$13,G43,0),IF(3&lt;=Assumptions!$C$13,H43,0),IF(2&lt;=Assumptions!$C$13,I43,0),IF(1&lt;=Assumptions!$C$13,J43,0))*Assumptions!$C$36,K34)</f>
        <v>2.277359749557042E-8</v>
      </c>
      <c r="L44" s="14">
        <f>MIN(SUM(IF(9&lt;=Assumptions!$C$13,C43,0),IF(8&lt;=Assumptions!$C$13,D43,0),IF(7&lt;=Assumptions!$C$13,E43,0),IF(6&lt;=Assumptions!$C$13,F43,0),IF(5&lt;=Assumptions!$C$13,G43,0),IF(4&lt;=Assumptions!$C$13,H43,0),IF(3&lt;=Assumptions!$C$13,I43,0),IF(2&lt;=Assumptions!$C$13,J43,0),IF(1&lt;=Assumptions!$C$13,K43,0))*Assumptions!$C$36,L34)</f>
        <v>1.9129821896279153E-9</v>
      </c>
      <c r="M44" s="14">
        <f>MIN(SUM(IF(10&lt;=Assumptions!$C$13,C43,0),IF(9&lt;=Assumptions!$C$13,D43,0),IF(8&lt;=Assumptions!$C$13,E43,0),IF(7&lt;=Assumptions!$C$13,F43,0),IF(6&lt;=Assumptions!$C$13,G43,0),IF(5&lt;=Assumptions!$C$13,H43,0),IF(4&lt;=Assumptions!$C$13,I43,0),IF(3&lt;=Assumptions!$C$13,J43,0),IF(2&lt;=Assumptions!$C$13,K43,0),IF(1&lt;=Assumptions!$C$13,L43,0))*Assumptions!$C$36,M34)</f>
        <v>1.6069050392874488E-10</v>
      </c>
      <c r="N44" s="14">
        <f>MIN(SUM(IF(11&lt;=Assumptions!$C$13,C43,0),IF(10&lt;=Assumptions!$C$13,D43,0),IF(9&lt;=Assumptions!$C$13,E43,0),IF(8&lt;=Assumptions!$C$13,F43,0),IF(7&lt;=Assumptions!$C$13,G43,0),IF(6&lt;=Assumptions!$C$13,H43,0),IF(5&lt;=Assumptions!$C$13,I43,0),IF(4&lt;=Assumptions!$C$13,J43,0),IF(3&lt;=Assumptions!$C$13,K43,0),IF(2&lt;=Assumptions!$C$13,L43,0),IF(1&lt;=Assumptions!$C$13,M43,0))*Assumptions!$C$36,N34)</f>
        <v>1.3498002330014569E-11</v>
      </c>
      <c r="O44" s="14">
        <f>MIN(SUM(IF(12&lt;=Assumptions!$C$13,C43,0),IF(11&lt;=Assumptions!$C$13,D43,0),IF(10&lt;=Assumptions!$C$13,E43,0),IF(9&lt;=Assumptions!$C$13,F43,0),IF(8&lt;=Assumptions!$C$13,G43,0),IF(7&lt;=Assumptions!$C$13,H43,0),IF(6&lt;=Assumptions!$C$13,I43,0),IF(5&lt;=Assumptions!$C$13,J43,0),IF(4&lt;=Assumptions!$C$13,K43,0),IF(3&lt;=Assumptions!$C$13,L43,0),IF(2&lt;=Assumptions!$C$13,M43,0),IF(1&lt;=Assumptions!$C$13,N43,0))*Assumptions!$C$36,O34)</f>
        <v>1.133832195721224E-12</v>
      </c>
      <c r="P44" s="14">
        <f>MIN(SUM(IF(13&lt;=Assumptions!$C$13,C43,0),IF(12&lt;=Assumptions!$C$13,D43,0),IF(11&lt;=Assumptions!$C$13,E43,0),IF(10&lt;=Assumptions!$C$13,F43,0),IF(9&lt;=Assumptions!$C$13,G43,0),IF(8&lt;=Assumptions!$C$13,H43,0),IF(7&lt;=Assumptions!$C$13,I43,0),IF(6&lt;=Assumptions!$C$13,J43,0),IF(5&lt;=Assumptions!$C$13,K43,0),IF(4&lt;=Assumptions!$C$13,L43,0),IF(3&lt;=Assumptions!$C$13,M43,0),IF(2&lt;=Assumptions!$C$13,N43,0),IF(1&lt;=Assumptions!$C$13,O43,0))*Assumptions!$C$36,P34)</f>
        <v>9.5241904440582808E-14</v>
      </c>
      <c r="Q44" s="14">
        <f>MIN(SUM(IF(14&lt;=Assumptions!$C$13,C43,0),IF(13&lt;=Assumptions!$C$13,D43,0),IF(12&lt;=Assumptions!$C$13,E43,0),IF(11&lt;=Assumptions!$C$13,F43,0),IF(10&lt;=Assumptions!$C$13,G43,0),IF(9&lt;=Assumptions!$C$13,H43,0),IF(8&lt;=Assumptions!$C$13,I43,0),IF(7&lt;=Assumptions!$C$13,J43,0),IF(6&lt;=Assumptions!$C$13,K43,0),IF(5&lt;=Assumptions!$C$13,L43,0),IF(4&lt;=Assumptions!$C$13,M43,0),IF(3&lt;=Assumptions!$C$13,N43,0),IF(2&lt;=Assumptions!$C$13,O43,0),IF(1&lt;=Assumptions!$C$13,P43,0))*Assumptions!$C$36,Q34)</f>
        <v>8.0003199730089551E-15</v>
      </c>
      <c r="R44" s="14">
        <f>MIN(SUM(IF(15&lt;=Assumptions!$C$13,C43,0),IF(14&lt;=Assumptions!$C$13,D43,0),IF(13&lt;=Assumptions!$C$13,E43,0),IF(12&lt;=Assumptions!$C$13,F43,0),IF(11&lt;=Assumptions!$C$13,G43,0),IF(10&lt;=Assumptions!$C$13,H43,0),IF(9&lt;=Assumptions!$C$13,I43,0),IF(8&lt;=Assumptions!$C$13,J43,0),IF(7&lt;=Assumptions!$C$13,K43,0),IF(6&lt;=Assumptions!$C$13,L43,0),IF(5&lt;=Assumptions!$C$13,M43,0),IF(4&lt;=Assumptions!$C$13,N43,0),IF(3&lt;=Assumptions!$C$13,O43,0),IF(2&lt;=Assumptions!$C$13,P43,0),IF(1&lt;=Assumptions!$C$13,Q43,0))*Assumptions!$C$36,R34)</f>
        <v>6.7202687773275219E-16</v>
      </c>
      <c r="S44" s="14">
        <f>MIN(SUM(IF(16&lt;=Assumptions!$C$13,C43,0),IF(15&lt;=Assumptions!$C$13,D43,0),IF(14&lt;=Assumptions!$C$13,E43,0),IF(13&lt;=Assumptions!$C$13,F43,0),IF(12&lt;=Assumptions!$C$13,G43,0),IF(11&lt;=Assumptions!$C$13,H43,0),IF(10&lt;=Assumptions!$C$13,I43,0),IF(9&lt;=Assumptions!$C$13,J43,0),IF(8&lt;=Assumptions!$C$13,K43,0),IF(7&lt;=Assumptions!$C$13,L43,0),IF(6&lt;=Assumptions!$C$13,M43,0),IF(5&lt;=Assumptions!$C$13,N43,0),IF(4&lt;=Assumptions!$C$13,O43,0),IF(3&lt;=Assumptions!$C$13,P43,0),IF(2&lt;=Assumptions!$C$13,Q43,0),IF(1&lt;=Assumptions!$C$13,R43,0))*Assumptions!$C$36,S34)</f>
        <v>5.6450257729551178E-17</v>
      </c>
      <c r="T44" s="14">
        <f>MIN(SUM(IF(17&lt;=Assumptions!$C$13,C43,0),IF(16&lt;=Assumptions!$C$13,D43,0),IF(15&lt;=Assumptions!$C$13,E43,0),IF(14&lt;=Assumptions!$C$13,F43,0),IF(13&lt;=Assumptions!$C$13,G43,0),IF(12&lt;=Assumptions!$C$13,H43,0),IF(11&lt;=Assumptions!$C$13,I43,0),IF(10&lt;=Assumptions!$C$13,J43,0),IF(9&lt;=Assumptions!$C$13,K43,0),IF(8&lt;=Assumptions!$C$13,L43,0),IF(7&lt;=Assumptions!$C$13,M43,0),IF(6&lt;=Assumptions!$C$13,N43,0),IF(5&lt;=Assumptions!$C$13,O43,0),IF(4&lt;=Assumptions!$C$13,P43,0),IF(3&lt;=Assumptions!$C$13,Q43,0),IF(2&lt;=Assumptions!$C$13,R43,0),IF(1&lt;=Assumptions!$C$13,S43,0))*Assumptions!$C$36,T34)</f>
        <v>4.7418216492822982E-18</v>
      </c>
      <c r="U44" s="14">
        <f>MIN(SUM(IF(18&lt;=Assumptions!$C$13,C43,0),IF(17&lt;=Assumptions!$C$13,D43,0),IF(16&lt;=Assumptions!$C$13,E43,0),IF(15&lt;=Assumptions!$C$13,F43,0),IF(14&lt;=Assumptions!$C$13,G43,0),IF(13&lt;=Assumptions!$C$13,H43,0),IF(12&lt;=Assumptions!$C$13,I43,0),IF(11&lt;=Assumptions!$C$13,J43,0),IF(10&lt;=Assumptions!$C$13,K43,0),IF(9&lt;=Assumptions!$C$13,L43,0),IF(8&lt;=Assumptions!$C$13,M43,0),IF(7&lt;=Assumptions!$C$13,N43,0),IF(6&lt;=Assumptions!$C$13,O43,0),IF(5&lt;=Assumptions!$C$13,P43,0),IF(4&lt;=Assumptions!$C$13,Q43,0),IF(3&lt;=Assumptions!$C$13,R43,0),IF(2&lt;=Assumptions!$C$13,S43,0),IF(1&lt;=Assumptions!$C$13,T43,0))*Assumptions!$C$36,U34)</f>
        <v>3.9831301853971307E-19</v>
      </c>
      <c r="V44" s="14">
        <f>MIN(SUM(IF(19&lt;=Assumptions!$C$13,C43,0),IF(18&lt;=Assumptions!$C$13,D43,0),IF(17&lt;=Assumptions!$C$13,E43,0),IF(16&lt;=Assumptions!$C$13,F43,0),IF(15&lt;=Assumptions!$C$13,G43,0),IF(14&lt;=Assumptions!$C$13,H43,0),IF(13&lt;=Assumptions!$C$13,I43,0),IF(12&lt;=Assumptions!$C$13,J43,0),IF(11&lt;=Assumptions!$C$13,K43,0),IF(10&lt;=Assumptions!$C$13,L43,0),IF(9&lt;=Assumptions!$C$13,M43,0),IF(8&lt;=Assumptions!$C$13,N43,0),IF(7&lt;=Assumptions!$C$13,O43,0),IF(6&lt;=Assumptions!$C$13,P43,0),IF(5&lt;=Assumptions!$C$13,Q43,0),IF(4&lt;=Assumptions!$C$13,R43,0),IF(3&lt;=Assumptions!$C$13,S43,0),IF(2&lt;=Assumptions!$C$13,T43,0),IF(1&lt;=Assumptions!$C$13,U43,0))*Assumptions!$C$36,V34)</f>
        <v>3.3458293557335899E-20</v>
      </c>
      <c r="W44" s="14">
        <f>MIN(SUM(IF(20&lt;=Assumptions!$C$13,C43,0),IF(19&lt;=Assumptions!$C$13,D43,0),IF(18&lt;=Assumptions!$C$13,E43,0),IF(17&lt;=Assumptions!$C$13,F43,0),IF(16&lt;=Assumptions!$C$13,G43,0),IF(15&lt;=Assumptions!$C$13,H43,0),IF(14&lt;=Assumptions!$C$13,I43,0),IF(13&lt;=Assumptions!$C$13,J43,0),IF(12&lt;=Assumptions!$C$13,K43,0),IF(11&lt;=Assumptions!$C$13,L43,0),IF(10&lt;=Assumptions!$C$13,M43,0),IF(9&lt;=Assumptions!$C$13,N43,0),IF(8&lt;=Assumptions!$C$13,O43,0),IF(7&lt;=Assumptions!$C$13,P43,0),IF(6&lt;=Assumptions!$C$13,Q43,0),IF(5&lt;=Assumptions!$C$13,R43,0),IF(4&lt;=Assumptions!$C$13,S43,0),IF(3&lt;=Assumptions!$C$13,T43,0),IF(2&lt;=Assumptions!$C$13,U43,0),IF(1&lt;=Assumptions!$C$13,V43,0))*Assumptions!$C$36,W34)</f>
        <v>2.8104966588162154E-21</v>
      </c>
      <c r="X44" s="14">
        <f>MIN(SUM(IF(21&lt;=Assumptions!$C$13,C43,0),IF(20&lt;=Assumptions!$C$13,D43,0),IF(19&lt;=Assumptions!$C$13,E43,0),IF(18&lt;=Assumptions!$C$13,F43,0),IF(17&lt;=Assumptions!$C$13,G43,0),IF(16&lt;=Assumptions!$C$13,H43,0),IF(15&lt;=Assumptions!$C$13,I43,0),IF(14&lt;=Assumptions!$C$13,J43,0),IF(13&lt;=Assumptions!$C$13,K43,0),IF(12&lt;=Assumptions!$C$13,L43,0),IF(11&lt;=Assumptions!$C$13,M43,0),IF(10&lt;=Assumptions!$C$13,N43,0),IF(9&lt;=Assumptions!$C$13,O43,0),IF(8&lt;=Assumptions!$C$13,P43,0),IF(7&lt;=Assumptions!$C$13,Q43,0),IF(6&lt;=Assumptions!$C$13,R43,0),IF(5&lt;=Assumptions!$C$13,S43,0),IF(4&lt;=Assumptions!$C$13,T43,0),IF(3&lt;=Assumptions!$C$13,U43,0),IF(2&lt;=Assumptions!$C$13,V43,0),IF(1&lt;=Assumptions!$C$13,W43,0))*Assumptions!$C$36,X34)</f>
        <v>2.360817193405621E-22</v>
      </c>
      <c r="Y44" s="14">
        <f>MIN(SUM(IF(22&lt;=Assumptions!$C$13,C43,0),IF(21&lt;=Assumptions!$C$13,D43,0),IF(20&lt;=Assumptions!$C$13,E43,0),IF(19&lt;=Assumptions!$C$13,F43,0),IF(18&lt;=Assumptions!$C$13,G43,0),IF(17&lt;=Assumptions!$C$13,H43,0),IF(16&lt;=Assumptions!$C$13,I43,0),IF(15&lt;=Assumptions!$C$13,J43,0),IF(14&lt;=Assumptions!$C$13,K43,0),IF(13&lt;=Assumptions!$C$13,L43,0),IF(12&lt;=Assumptions!$C$13,M43,0),IF(11&lt;=Assumptions!$C$13,N43,0),IF(10&lt;=Assumptions!$C$13,O43,0),IF(9&lt;=Assumptions!$C$13,P43,0),IF(8&lt;=Assumptions!$C$13,Q43,0),IF(7&lt;=Assumptions!$C$13,R43,0),IF(6&lt;=Assumptions!$C$13,S43,0),IF(5&lt;=Assumptions!$C$13,T43,0),IF(4&lt;=Assumptions!$C$13,U43,0),IF(3&lt;=Assumptions!$C$13,V43,0),IF(2&lt;=Assumptions!$C$13,W43,0),IF(1&lt;=Assumptions!$C$13,X43,0))*Assumptions!$C$36,Y34)</f>
        <v>1.9830864424607216E-23</v>
      </c>
      <c r="Z44" s="14">
        <f>MIN(SUM(IF(23&lt;=Assumptions!$C$13,C43,0),IF(22&lt;=Assumptions!$C$13,D43,0),IF(21&lt;=Assumptions!$C$13,E43,0),IF(20&lt;=Assumptions!$C$13,F43,0),IF(19&lt;=Assumptions!$C$13,G43,0),IF(18&lt;=Assumptions!$C$13,H43,0),IF(17&lt;=Assumptions!$C$13,I43,0),IF(16&lt;=Assumptions!$C$13,J43,0),IF(15&lt;=Assumptions!$C$13,K43,0),IF(14&lt;=Assumptions!$C$13,L43,0),IF(13&lt;=Assumptions!$C$13,M43,0),IF(12&lt;=Assumptions!$C$13,N43,0),IF(11&lt;=Assumptions!$C$13,O43,0),IF(10&lt;=Assumptions!$C$13,P43,0),IF(9&lt;=Assumptions!$C$13,Q43,0),IF(8&lt;=Assumptions!$C$13,R43,0),IF(7&lt;=Assumptions!$C$13,S43,0),IF(6&lt;=Assumptions!$C$13,T43,0),IF(5&lt;=Assumptions!$C$13,U43,0),IF(4&lt;=Assumptions!$C$13,V43,0),IF(3&lt;=Assumptions!$C$13,W43,0),IF(2&lt;=Assumptions!$C$13,X43,0),IF(1&lt;=Assumptions!$C$13,Y43,0))*Assumptions!$C$36,Z34)</f>
        <v>1.665792611667006E-24</v>
      </c>
    </row>
    <row r="45" spans="1:26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4" t="s">
        <v>275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>
      <c r="A47" s="1" t="s">
        <v>276</v>
      </c>
      <c r="B47" s="1" t="s">
        <v>78</v>
      </c>
      <c r="C47" s="15">
        <f>C31*Assumptions!$C$6+C32*Assumptions!$C$7+C33*Assumptions!$C$8+C42*(Assumptions!$C$6*Assumptions!$C$33+Assumptions!$C$7*Assumptions!$C$34+Assumptions!$C$8*Assumptions!$C$35)</f>
        <v>203175</v>
      </c>
      <c r="D47" s="15">
        <f>D31*Assumptions!$C$6+D32*Assumptions!$C$7+D33*Assumptions!$C$8+D42*(Assumptions!$C$6*Assumptions!$C$33+Assumptions!$C$7*Assumptions!$C$34+Assumptions!$C$8*Assumptions!$C$35)</f>
        <v>139320</v>
      </c>
      <c r="E47" s="15">
        <f>E31*Assumptions!$C$6+E32*Assumptions!$C$7+E33*Assumptions!$C$8+E42*(Assumptions!$C$6*Assumptions!$C$33+Assumptions!$C$7*Assumptions!$C$34+Assumptions!$C$8*Assumptions!$C$35)</f>
        <v>195622.69500000001</v>
      </c>
      <c r="F47" s="15">
        <f>F31*Assumptions!$C$6+F32*Assumptions!$C$7+F33*Assumptions!$C$8+F42*(Assumptions!$C$6*Assumptions!$C$33+Assumptions!$C$7*Assumptions!$C$34+Assumptions!$C$8*Assumptions!$C$35)</f>
        <v>247461.36822</v>
      </c>
      <c r="G47" s="15">
        <f>G31*Assumptions!$C$6+G32*Assumptions!$C$7+G33*Assumptions!$C$8+G42*(Assumptions!$C$6*Assumptions!$C$33+Assumptions!$C$7*Assumptions!$C$34+Assumptions!$C$8*Assumptions!$C$35)</f>
        <v>298854.07756271999</v>
      </c>
      <c r="H47" s="15">
        <f>H31*Assumptions!$C$6+H32*Assumptions!$C$7+H33*Assumptions!$C$8+H42*(Assumptions!$C$6*Assumptions!$C$33+Assumptions!$C$7*Assumptions!$C$34+Assumptions!$C$8*Assumptions!$C$35)</f>
        <v>350290.08328654512</v>
      </c>
      <c r="I47" s="15">
        <f>I31*Assumptions!$C$6+I32*Assumptions!$C$7+I33*Assumptions!$C$8+I42*(Assumptions!$C$6*Assumptions!$C$33+Assumptions!$C$7*Assumptions!$C$34+Assumptions!$C$8*Assumptions!$C$35)</f>
        <v>401959.87508485978</v>
      </c>
      <c r="J47" s="15">
        <f>J31*Assumptions!$C$6+J32*Assumptions!$C$7+J33*Assumptions!$C$8+J42*(Assumptions!$C$6*Assumptions!$C$33+Assumptions!$C$7*Assumptions!$C$34+Assumptions!$C$8*Assumptions!$C$35)</f>
        <v>454027.01286145439</v>
      </c>
      <c r="K47" s="15">
        <f>K31*Assumptions!$C$6+K32*Assumptions!$C$7+K33*Assumptions!$C$8+K42*(Assumptions!$C$6*Assumptions!$C$33+Assumptions!$C$7*Assumptions!$C$34+Assumptions!$C$8*Assumptions!$C$35)</f>
        <v>506651.46507239115</v>
      </c>
      <c r="L47" s="15">
        <f>L31*Assumptions!$C$6+L32*Assumptions!$C$7+L33*Assumptions!$C$8+L42*(Assumptions!$C$6*Assumptions!$C$33+Assumptions!$C$7*Assumptions!$C$34+Assumptions!$C$8*Assumptions!$C$35)</f>
        <v>559992.05994561862</v>
      </c>
      <c r="M47" s="15">
        <f>M31*Assumptions!$C$6+M32*Assumptions!$C$7+M33*Assumptions!$C$8+M42*(Assumptions!$C$6*Assumptions!$C$33+Assumptions!$C$7*Assumptions!$C$34+Assumptions!$C$8*Assumptions!$C$35)</f>
        <v>614207.171057228</v>
      </c>
      <c r="N47" s="15">
        <f>N31*Assumptions!$C$6+N32*Assumptions!$C$7+N33*Assumptions!$C$8+N42*(Assumptions!$C$6*Assumptions!$C$33+Assumptions!$C$7*Assumptions!$C$34+Assumptions!$C$8*Assumptions!$C$35)</f>
        <v>669455.24519488425</v>
      </c>
      <c r="O47" s="15">
        <f>O31*Assumptions!$C$6+O32*Assumptions!$C$7+O33*Assumptions!$C$8+O42*(Assumptions!$C$6*Assumptions!$C$33+Assumptions!$C$7*Assumptions!$C$34+Assumptions!$C$8*Assumptions!$C$35)</f>
        <v>725895.30924113828</v>
      </c>
      <c r="P47" s="15">
        <f>P31*Assumptions!$C$6+P32*Assumptions!$C$7+P33*Assumptions!$C$8+P42*(Assumptions!$C$6*Assumptions!$C$33+Assumptions!$C$7*Assumptions!$C$34+Assumptions!$C$8*Assumptions!$C$35)</f>
        <v>783687.46917529637</v>
      </c>
      <c r="Q47" s="15">
        <f>Q31*Assumptions!$C$6+Q32*Assumptions!$C$7+Q33*Assumptions!$C$8+Q42*(Assumptions!$C$6*Assumptions!$C$33+Assumptions!$C$7*Assumptions!$C$34+Assumptions!$C$8*Assumptions!$C$35)</f>
        <v>842993.40385994175</v>
      </c>
      <c r="R47" s="15">
        <f>R31*Assumptions!$C$6+R32*Assumptions!$C$7+R33*Assumptions!$C$8+R42*(Assumptions!$C$6*Assumptions!$C$33+Assumptions!$C$7*Assumptions!$C$34+Assumptions!$C$8*Assumptions!$C$35)</f>
        <v>903976.85536036245</v>
      </c>
      <c r="S47" s="15">
        <f>S31*Assumptions!$C$6+S32*Assumptions!$C$7+S33*Assumptions!$C$8+S42*(Assumptions!$C$6*Assumptions!$C$33+Assumptions!$C$7*Assumptions!$C$34+Assumptions!$C$8*Assumptions!$C$35)</f>
        <v>966804.11743212922</v>
      </c>
      <c r="T47" s="15">
        <f>T31*Assumptions!$C$6+T32*Assumptions!$C$7+T33*Assumptions!$C$8+T42*(Assumptions!$C$6*Assumptions!$C$33+Assumptions!$C$7*Assumptions!$C$34+Assumptions!$C$8*Assumptions!$C$35)</f>
        <v>1031644.5237720443</v>
      </c>
      <c r="U47" s="15">
        <f>U31*Assumptions!$C$6+U32*Assumptions!$C$7+U33*Assumptions!$C$8+U42*(Assumptions!$C$6*Assumptions!$C$33+Assumptions!$C$7*Assumptions!$C$34+Assumptions!$C$8*Assumptions!$C$35)</f>
        <v>1098670.9375989835</v>
      </c>
      <c r="V47" s="15">
        <f>V31*Assumptions!$C$6+V32*Assumptions!$C$7+V33*Assumptions!$C$8+V42*(Assumptions!$C$6*Assumptions!$C$33+Assumptions!$C$7*Assumptions!$C$34+Assumptions!$C$8*Assumptions!$C$35)</f>
        <v>1168060.2441084159</v>
      </c>
      <c r="W47" s="15">
        <f>W31*Assumptions!$C$6+W32*Assumptions!$C$7+W33*Assumptions!$C$8+W42*(Assumptions!$C$6*Assumptions!$C$33+Assumptions!$C$7*Assumptions!$C$34+Assumptions!$C$8*Assumptions!$C$35)</f>
        <v>1239993.8473270331</v>
      </c>
      <c r="X47" s="15">
        <f>X31*Assumptions!$C$6+X32*Assumptions!$C$7+X33*Assumptions!$C$8+X42*(Assumptions!$C$6*Assumptions!$C$33+Assumptions!$C$7*Assumptions!$C$34+Assumptions!$C$8*Assumptions!$C$35)</f>
        <v>1314658.1728817369</v>
      </c>
      <c r="Y47" s="15">
        <f>Y31*Assumptions!$C$6+Y32*Assumptions!$C$7+Y33*Assumptions!$C$8+Y42*(Assumptions!$C$6*Assumptions!$C$33+Assumptions!$C$7*Assumptions!$C$34+Assumptions!$C$8*Assumptions!$C$35)</f>
        <v>1392245.178190121</v>
      </c>
      <c r="Z47" s="15">
        <f>Z31*Assumptions!$C$6+Z32*Assumptions!$C$7+Z33*Assumptions!$C$8+Z42*(Assumptions!$C$6*Assumptions!$C$33+Assumptions!$C$7*Assumptions!$C$34+Assumptions!$C$8*Assumptions!$C$35)</f>
        <v>1472952.8715774093</v>
      </c>
    </row>
    <row r="48" spans="1:26" ht="16.5" customHeight="1">
      <c r="A48" s="1" t="s">
        <v>277</v>
      </c>
      <c r="B48" s="1" t="s">
        <v>78</v>
      </c>
      <c r="C48" s="15">
        <f>C42*(Assumptions!$C$6*Assumptions!$C$33+Assumptions!$C$7*Assumptions!$C$34+Assumptions!$C$8*Assumptions!$C$35)</f>
        <v>203175</v>
      </c>
      <c r="D48" s="15">
        <f>D42*(Assumptions!$C$6*Assumptions!$C$33+Assumptions!$C$7*Assumptions!$C$34+Assumptions!$C$8*Assumptions!$C$35)</f>
        <v>0</v>
      </c>
      <c r="E48" s="15">
        <f>E42*(Assumptions!$C$6*Assumptions!$C$33+Assumptions!$C$7*Assumptions!$C$34+Assumptions!$C$8*Assumptions!$C$35)</f>
        <v>0</v>
      </c>
      <c r="F48" s="15">
        <f>F42*(Assumptions!$C$6*Assumptions!$C$33+Assumptions!$C$7*Assumptions!$C$34+Assumptions!$C$8*Assumptions!$C$35)</f>
        <v>0</v>
      </c>
      <c r="G48" s="15">
        <f>G42*(Assumptions!$C$6*Assumptions!$C$33+Assumptions!$C$7*Assumptions!$C$34+Assumptions!$C$8*Assumptions!$C$35)</f>
        <v>0</v>
      </c>
      <c r="H48" s="15">
        <f>H42*(Assumptions!$C$6*Assumptions!$C$33+Assumptions!$C$7*Assumptions!$C$34+Assumptions!$C$8*Assumptions!$C$35)</f>
        <v>0</v>
      </c>
      <c r="I48" s="15">
        <f>I42*(Assumptions!$C$6*Assumptions!$C$33+Assumptions!$C$7*Assumptions!$C$34+Assumptions!$C$8*Assumptions!$C$35)</f>
        <v>0</v>
      </c>
      <c r="J48" s="15">
        <f>J42*(Assumptions!$C$6*Assumptions!$C$33+Assumptions!$C$7*Assumptions!$C$34+Assumptions!$C$8*Assumptions!$C$35)</f>
        <v>0</v>
      </c>
      <c r="K48" s="15">
        <f>K42*(Assumptions!$C$6*Assumptions!$C$33+Assumptions!$C$7*Assumptions!$C$34+Assumptions!$C$8*Assumptions!$C$35)</f>
        <v>0</v>
      </c>
      <c r="L48" s="15">
        <f>L42*(Assumptions!$C$6*Assumptions!$C$33+Assumptions!$C$7*Assumptions!$C$34+Assumptions!$C$8*Assumptions!$C$35)</f>
        <v>0</v>
      </c>
      <c r="M48" s="15">
        <f>M42*(Assumptions!$C$6*Assumptions!$C$33+Assumptions!$C$7*Assumptions!$C$34+Assumptions!$C$8*Assumptions!$C$35)</f>
        <v>0</v>
      </c>
      <c r="N48" s="15">
        <f>N42*(Assumptions!$C$6*Assumptions!$C$33+Assumptions!$C$7*Assumptions!$C$34+Assumptions!$C$8*Assumptions!$C$35)</f>
        <v>0</v>
      </c>
      <c r="O48" s="15">
        <f>O42*(Assumptions!$C$6*Assumptions!$C$33+Assumptions!$C$7*Assumptions!$C$34+Assumptions!$C$8*Assumptions!$C$35)</f>
        <v>0</v>
      </c>
      <c r="P48" s="15">
        <f>P42*(Assumptions!$C$6*Assumptions!$C$33+Assumptions!$C$7*Assumptions!$C$34+Assumptions!$C$8*Assumptions!$C$35)</f>
        <v>0</v>
      </c>
      <c r="Q48" s="15">
        <f>Q42*(Assumptions!$C$6*Assumptions!$C$33+Assumptions!$C$7*Assumptions!$C$34+Assumptions!$C$8*Assumptions!$C$35)</f>
        <v>0</v>
      </c>
      <c r="R48" s="15">
        <f>R42*(Assumptions!$C$6*Assumptions!$C$33+Assumptions!$C$7*Assumptions!$C$34+Assumptions!$C$8*Assumptions!$C$35)</f>
        <v>0</v>
      </c>
      <c r="S48" s="15">
        <f>S42*(Assumptions!$C$6*Assumptions!$C$33+Assumptions!$C$7*Assumptions!$C$34+Assumptions!$C$8*Assumptions!$C$35)</f>
        <v>0</v>
      </c>
      <c r="T48" s="15">
        <f>T42*(Assumptions!$C$6*Assumptions!$C$33+Assumptions!$C$7*Assumptions!$C$34+Assumptions!$C$8*Assumptions!$C$35)</f>
        <v>0</v>
      </c>
      <c r="U48" s="15">
        <f>U42*(Assumptions!$C$6*Assumptions!$C$33+Assumptions!$C$7*Assumptions!$C$34+Assumptions!$C$8*Assumptions!$C$35)</f>
        <v>0</v>
      </c>
      <c r="V48" s="15">
        <f>V42*(Assumptions!$C$6*Assumptions!$C$33+Assumptions!$C$7*Assumptions!$C$34+Assumptions!$C$8*Assumptions!$C$35)</f>
        <v>0</v>
      </c>
      <c r="W48" s="15">
        <f>W42*(Assumptions!$C$6*Assumptions!$C$33+Assumptions!$C$7*Assumptions!$C$34+Assumptions!$C$8*Assumptions!$C$35)</f>
        <v>0</v>
      </c>
      <c r="X48" s="15">
        <f>X42*(Assumptions!$C$6*Assumptions!$C$33+Assumptions!$C$7*Assumptions!$C$34+Assumptions!$C$8*Assumptions!$C$35)</f>
        <v>0</v>
      </c>
      <c r="Y48" s="15">
        <f>Y42*(Assumptions!$C$6*Assumptions!$C$33+Assumptions!$C$7*Assumptions!$C$34+Assumptions!$C$8*Assumptions!$C$35)</f>
        <v>0</v>
      </c>
      <c r="Z48" s="15">
        <f>Z42*(Assumptions!$C$6*Assumptions!$C$33+Assumptions!$C$7*Assumptions!$C$34+Assumptions!$C$8*Assumptions!$C$35)</f>
        <v>0</v>
      </c>
    </row>
    <row r="49" spans="1:26" ht="16.5" customHeight="1">
      <c r="A49" s="1" t="s">
        <v>278</v>
      </c>
      <c r="B49" s="1" t="s">
        <v>78</v>
      </c>
      <c r="C49" s="15">
        <f>MIN(C44*(Assumptions!$C$6*Assumptions!$C$33+Assumptions!$C$7*Assumptions!$C$34+Assumptions!$C$8*Assumptions!$C$35),C47-C48)</f>
        <v>0</v>
      </c>
      <c r="D49" s="15">
        <f>MIN(D44*(Assumptions!$C$6*Assumptions!$C$33+Assumptions!$C$7*Assumptions!$C$34+Assumptions!$C$8*Assumptions!$C$35),D47-D48)</f>
        <v>0</v>
      </c>
      <c r="E49" s="15">
        <f>MIN(E44*(Assumptions!$C$6*Assumptions!$C$33+Assumptions!$C$7*Assumptions!$C$34+Assumptions!$C$8*Assumptions!$C$35),E47-E48)</f>
        <v>1254.4024499999996</v>
      </c>
      <c r="F49" s="15">
        <f>MIN(F44*(Assumptions!$C$6*Assumptions!$C$33+Assumptions!$C$7*Assumptions!$C$34+Assumptions!$C$8*Assumptions!$C$35),F47-F48)</f>
        <v>105.36980579999998</v>
      </c>
      <c r="G49" s="15">
        <f>MIN(G44*(Assumptions!$C$6*Assumptions!$C$33+Assumptions!$C$7*Assumptions!$C$34+Assumptions!$C$8*Assumptions!$C$35),G47-G48)</f>
        <v>8.8510636871999981</v>
      </c>
      <c r="H49" s="15">
        <f>MIN(H44*(Assumptions!$C$6*Assumptions!$C$33+Assumptions!$C$7*Assumptions!$C$34+Assumptions!$C$8*Assumptions!$C$35),H47-H48)</f>
        <v>0.74348934972479985</v>
      </c>
      <c r="I49" s="15">
        <f>MIN(I44*(Assumptions!$C$6*Assumptions!$C$33+Assumptions!$C$7*Assumptions!$C$34+Assumptions!$C$8*Assumptions!$C$35),I47-I48)</f>
        <v>6.2453105376883186E-2</v>
      </c>
      <c r="J49" s="15">
        <f>MIN(J44*(Assumptions!$C$6*Assumptions!$C$33+Assumptions!$C$7*Assumptions!$C$34+Assumptions!$C$8*Assumptions!$C$35),J47-J48)</f>
        <v>5.2460608516581879E-3</v>
      </c>
      <c r="K49" s="15">
        <f>MIN(K44*(Assumptions!$C$6*Assumptions!$C$33+Assumptions!$C$7*Assumptions!$C$34+Assumptions!$C$8*Assumptions!$C$35),K47-K48)</f>
        <v>4.406691115392876E-4</v>
      </c>
      <c r="L49" s="15">
        <f>MIN(L44*(Assumptions!$C$6*Assumptions!$C$33+Assumptions!$C$7*Assumptions!$C$34+Assumptions!$C$8*Assumptions!$C$35),L47-L48)</f>
        <v>3.7016205369300165E-5</v>
      </c>
      <c r="M49" s="15">
        <f>MIN(M44*(Assumptions!$C$6*Assumptions!$C$33+Assumptions!$C$7*Assumptions!$C$34+Assumptions!$C$8*Assumptions!$C$35),M47-M48)</f>
        <v>3.1093612510212135E-6</v>
      </c>
      <c r="N49" s="15">
        <f>MIN(N44*(Assumptions!$C$6*Assumptions!$C$33+Assumptions!$C$7*Assumptions!$C$34+Assumptions!$C$8*Assumptions!$C$35),N47-N48)</f>
        <v>2.6118634508578189E-7</v>
      </c>
      <c r="O49" s="15">
        <f>MIN(O44*(Assumptions!$C$6*Assumptions!$C$33+Assumptions!$C$7*Assumptions!$C$34+Assumptions!$C$8*Assumptions!$C$35),O47-O48)</f>
        <v>2.1939652987205685E-8</v>
      </c>
      <c r="P49" s="15">
        <f>MIN(P44*(Assumptions!$C$6*Assumptions!$C$33+Assumptions!$C$7*Assumptions!$C$34+Assumptions!$C$8*Assumptions!$C$35),P47-P48)</f>
        <v>1.8429308509252774E-9</v>
      </c>
      <c r="Q49" s="15">
        <f>MIN(Q44*(Assumptions!$C$6*Assumptions!$C$33+Assumptions!$C$7*Assumptions!$C$34+Assumptions!$C$8*Assumptions!$C$35),Q47-Q48)</f>
        <v>1.5480619147772328E-10</v>
      </c>
      <c r="R49" s="15">
        <f>MIN(R44*(Assumptions!$C$6*Assumptions!$C$33+Assumptions!$C$7*Assumptions!$C$34+Assumptions!$C$8*Assumptions!$C$35),R47-R48)</f>
        <v>1.3003720084128755E-11</v>
      </c>
      <c r="S49" s="15">
        <f>MIN(S44*(Assumptions!$C$6*Assumptions!$C$33+Assumptions!$C$7*Assumptions!$C$34+Assumptions!$C$8*Assumptions!$C$35),S47-S48)</f>
        <v>1.0923124870668153E-12</v>
      </c>
      <c r="T49" s="15">
        <f>MIN(T44*(Assumptions!$C$6*Assumptions!$C$33+Assumptions!$C$7*Assumptions!$C$34+Assumptions!$C$8*Assumptions!$C$35),T47-T48)</f>
        <v>9.1754248913612472E-14</v>
      </c>
      <c r="U49" s="15">
        <f>MIN(U44*(Assumptions!$C$6*Assumptions!$C$33+Assumptions!$C$7*Assumptions!$C$34+Assumptions!$C$8*Assumptions!$C$35),U47-U48)</f>
        <v>7.7073569087434476E-15</v>
      </c>
      <c r="V49" s="15">
        <f>MIN(V44*(Assumptions!$C$6*Assumptions!$C$33+Assumptions!$C$7*Assumptions!$C$34+Assumptions!$C$8*Assumptions!$C$35),V47-V48)</f>
        <v>6.4741798033444966E-16</v>
      </c>
      <c r="W49" s="15">
        <f>MIN(W44*(Assumptions!$C$6*Assumptions!$C$33+Assumptions!$C$7*Assumptions!$C$34+Assumptions!$C$8*Assumptions!$C$35),W47-W48)</f>
        <v>5.438311034809377E-17</v>
      </c>
      <c r="X49" s="15">
        <f>MIN(X44*(Assumptions!$C$6*Assumptions!$C$33+Assumptions!$C$7*Assumptions!$C$34+Assumptions!$C$8*Assumptions!$C$35),X47-X48)</f>
        <v>4.5681812692398764E-18</v>
      </c>
      <c r="Y49" s="15">
        <f>MIN(Y44*(Assumptions!$C$6*Assumptions!$C$33+Assumptions!$C$7*Assumptions!$C$34+Assumptions!$C$8*Assumptions!$C$35),Y47-Y48)</f>
        <v>3.8372722661614966E-19</v>
      </c>
      <c r="Z49" s="15">
        <f>MIN(Z44*(Assumptions!$C$6*Assumptions!$C$33+Assumptions!$C$7*Assumptions!$C$34+Assumptions!$C$8*Assumptions!$C$35),Z47-Z48)</f>
        <v>3.2233087035756567E-20</v>
      </c>
    </row>
    <row r="50" spans="1:26" ht="16.5" customHeight="1">
      <c r="A50" s="5" t="s">
        <v>279</v>
      </c>
      <c r="B50" s="5" t="s">
        <v>78</v>
      </c>
      <c r="C50" s="17">
        <f t="shared" ref="C50:Z50" si="13">C47-C48-C49</f>
        <v>0</v>
      </c>
      <c r="D50" s="17">
        <f t="shared" si="13"/>
        <v>139320</v>
      </c>
      <c r="E50" s="17">
        <f t="shared" si="13"/>
        <v>194368.29255000001</v>
      </c>
      <c r="F50" s="17">
        <f t="shared" si="13"/>
        <v>247355.9984142</v>
      </c>
      <c r="G50" s="17">
        <f t="shared" si="13"/>
        <v>298845.22649903281</v>
      </c>
      <c r="H50" s="17">
        <f t="shared" si="13"/>
        <v>350289.3397971954</v>
      </c>
      <c r="I50" s="17">
        <f t="shared" si="13"/>
        <v>401959.81263175438</v>
      </c>
      <c r="J50" s="17">
        <f t="shared" si="13"/>
        <v>454027.00761539355</v>
      </c>
      <c r="K50" s="17">
        <f t="shared" si="13"/>
        <v>506651.46463172202</v>
      </c>
      <c r="L50" s="17">
        <f t="shared" si="13"/>
        <v>559992.05990860239</v>
      </c>
      <c r="M50" s="17">
        <f t="shared" si="13"/>
        <v>614207.17105411866</v>
      </c>
      <c r="N50" s="17">
        <f t="shared" si="13"/>
        <v>669455.24519462301</v>
      </c>
      <c r="O50" s="17">
        <f t="shared" si="13"/>
        <v>725895.3092411164</v>
      </c>
      <c r="P50" s="17">
        <f t="shared" si="13"/>
        <v>783687.46917529451</v>
      </c>
      <c r="Q50" s="17">
        <f t="shared" si="13"/>
        <v>842993.40385994164</v>
      </c>
      <c r="R50" s="17">
        <f t="shared" si="13"/>
        <v>903976.85536036245</v>
      </c>
      <c r="S50" s="17">
        <f t="shared" si="13"/>
        <v>966804.11743212922</v>
      </c>
      <c r="T50" s="17">
        <f t="shared" si="13"/>
        <v>1031644.5237720443</v>
      </c>
      <c r="U50" s="17">
        <f t="shared" si="13"/>
        <v>1098670.9375989835</v>
      </c>
      <c r="V50" s="17">
        <f t="shared" si="13"/>
        <v>1168060.2441084159</v>
      </c>
      <c r="W50" s="17">
        <f t="shared" si="13"/>
        <v>1239993.8473270331</v>
      </c>
      <c r="X50" s="17">
        <f t="shared" si="13"/>
        <v>1314658.1728817369</v>
      </c>
      <c r="Y50" s="17">
        <f t="shared" si="13"/>
        <v>1392245.178190121</v>
      </c>
      <c r="Z50" s="17">
        <f t="shared" si="13"/>
        <v>1472952.8715774093</v>
      </c>
    </row>
    <row r="51" spans="1:26" ht="16.5" customHeight="1">
      <c r="A51" s="1" t="s">
        <v>280</v>
      </c>
      <c r="B51" s="1" t="s">
        <v>78</v>
      </c>
      <c r="C51" s="15">
        <f>C50*Assumptions!$C$70/(1+Assumptions!$C$70)</f>
        <v>0</v>
      </c>
      <c r="D51" s="15">
        <f>D50*Assumptions!$C$70/(1+Assumptions!$C$70)</f>
        <v>12665.454545454544</v>
      </c>
      <c r="E51" s="15">
        <f>E50*Assumptions!$C$70/(1+Assumptions!$C$70)</f>
        <v>17669.844777272727</v>
      </c>
      <c r="F51" s="15">
        <f>F50*Assumptions!$C$70/(1+Assumptions!$C$70)</f>
        <v>22486.908946745454</v>
      </c>
      <c r="G51" s="15">
        <f>G50*Assumptions!$C$70/(1+Assumptions!$C$70)</f>
        <v>27167.747863548437</v>
      </c>
      <c r="H51" s="15">
        <f>H50*Assumptions!$C$70/(1+Assumptions!$C$70)</f>
        <v>31844.485436108673</v>
      </c>
      <c r="I51" s="15">
        <f>I50*Assumptions!$C$70/(1+Assumptions!$C$70)</f>
        <v>36541.801148341307</v>
      </c>
      <c r="J51" s="15">
        <f>J50*Assumptions!$C$70/(1+Assumptions!$C$70)</f>
        <v>41275.182510490326</v>
      </c>
      <c r="K51" s="15">
        <f>K50*Assumptions!$C$70/(1+Assumptions!$C$70)</f>
        <v>46059.224057429274</v>
      </c>
      <c r="L51" s="15">
        <f>L50*Assumptions!$C$70/(1+Assumptions!$C$70)</f>
        <v>50908.369082600213</v>
      </c>
      <c r="M51" s="15">
        <f>M50*Assumptions!$C$70/(1+Assumptions!$C$70)</f>
        <v>55837.015550374417</v>
      </c>
      <c r="N51" s="15">
        <f>N50*Assumptions!$C$70/(1+Assumptions!$C$70)</f>
        <v>60859.567744965723</v>
      </c>
      <c r="O51" s="15">
        <f>O50*Assumptions!$C$70/(1+Assumptions!$C$70)</f>
        <v>65990.482658283305</v>
      </c>
      <c r="P51" s="15">
        <f>P50*Assumptions!$C$70/(1+Assumptions!$C$70)</f>
        <v>71244.315379572232</v>
      </c>
      <c r="Q51" s="15">
        <f>Q50*Assumptions!$C$70/(1+Assumptions!$C$70)</f>
        <v>76635.763987267419</v>
      </c>
      <c r="R51" s="15">
        <f>R50*Assumptions!$C$70/(1+Assumptions!$C$70)</f>
        <v>82179.714123669313</v>
      </c>
      <c r="S51" s="15">
        <f>S50*Assumptions!$C$70/(1+Assumptions!$C$70)</f>
        <v>87891.283402920832</v>
      </c>
      <c r="T51" s="15">
        <f>T50*Assumptions!$C$70/(1+Assumptions!$C$70)</f>
        <v>93785.865797458566</v>
      </c>
      <c r="U51" s="15">
        <f>U50*Assumptions!$C$70/(1+Assumptions!$C$70)</f>
        <v>99879.176145362129</v>
      </c>
      <c r="V51" s="15">
        <f>V50*Assumptions!$C$70/(1+Assumptions!$C$70)</f>
        <v>106187.29491894689</v>
      </c>
      <c r="W51" s="15">
        <f>W50*Assumptions!$C$70/(1+Assumptions!$C$70)</f>
        <v>112726.71339336663</v>
      </c>
      <c r="X51" s="15">
        <f>X50*Assumptions!$C$70/(1+Assumptions!$C$70)</f>
        <v>119514.37935288515</v>
      </c>
      <c r="Y51" s="15">
        <f>Y50*Assumptions!$C$70/(1+Assumptions!$C$70)</f>
        <v>126567.74347182918</v>
      </c>
      <c r="Z51" s="15">
        <f>Z50*Assumptions!$C$70/(1+Assumptions!$C$70)</f>
        <v>133904.8065070372</v>
      </c>
    </row>
    <row r="52" spans="1:26" ht="16.5" customHeight="1">
      <c r="A52" s="5" t="s">
        <v>281</v>
      </c>
      <c r="B52" s="5" t="s">
        <v>78</v>
      </c>
      <c r="C52" s="17">
        <f t="shared" ref="C52:Z52" si="14">C50-C51</f>
        <v>0</v>
      </c>
      <c r="D52" s="17">
        <f t="shared" si="14"/>
        <v>126654.54545454546</v>
      </c>
      <c r="E52" s="17">
        <f t="shared" si="14"/>
        <v>176698.44777272729</v>
      </c>
      <c r="F52" s="17">
        <f t="shared" si="14"/>
        <v>224869.08946745456</v>
      </c>
      <c r="G52" s="17">
        <f t="shared" si="14"/>
        <v>271677.47863548435</v>
      </c>
      <c r="H52" s="17">
        <f t="shared" si="14"/>
        <v>318444.85436108673</v>
      </c>
      <c r="I52" s="17">
        <f t="shared" si="14"/>
        <v>365418.01148341305</v>
      </c>
      <c r="J52" s="17">
        <f t="shared" si="14"/>
        <v>412751.8251049032</v>
      </c>
      <c r="K52" s="17">
        <f t="shared" si="14"/>
        <v>460592.24057429272</v>
      </c>
      <c r="L52" s="17">
        <f t="shared" si="14"/>
        <v>509083.69082600216</v>
      </c>
      <c r="M52" s="17">
        <f t="shared" si="14"/>
        <v>558370.15550374426</v>
      </c>
      <c r="N52" s="17">
        <f t="shared" si="14"/>
        <v>608595.67744965735</v>
      </c>
      <c r="O52" s="17">
        <f t="shared" si="14"/>
        <v>659904.82658283308</v>
      </c>
      <c r="P52" s="17">
        <f t="shared" si="14"/>
        <v>712443.15379572229</v>
      </c>
      <c r="Q52" s="17">
        <f t="shared" si="14"/>
        <v>766357.63987267425</v>
      </c>
      <c r="R52" s="17">
        <f t="shared" si="14"/>
        <v>821797.14123669313</v>
      </c>
      <c r="S52" s="17">
        <f t="shared" si="14"/>
        <v>878912.8340292084</v>
      </c>
      <c r="T52" s="17">
        <f t="shared" si="14"/>
        <v>937858.65797458577</v>
      </c>
      <c r="U52" s="17">
        <f t="shared" si="14"/>
        <v>998791.76145362144</v>
      </c>
      <c r="V52" s="17">
        <f t="shared" si="14"/>
        <v>1061872.949189469</v>
      </c>
      <c r="W52" s="17">
        <f t="shared" si="14"/>
        <v>1127267.1339336664</v>
      </c>
      <c r="X52" s="17">
        <f t="shared" si="14"/>
        <v>1195143.7935288518</v>
      </c>
      <c r="Y52" s="17">
        <f t="shared" si="14"/>
        <v>1265677.4347182917</v>
      </c>
      <c r="Z52" s="17">
        <f t="shared" si="14"/>
        <v>1339048.0650703721</v>
      </c>
    </row>
    <row r="53" spans="1:26" ht="16.5" customHeight="1">
      <c r="A53" s="1" t="s">
        <v>282</v>
      </c>
      <c r="B53" s="1" t="s">
        <v>78</v>
      </c>
      <c r="C53" s="15">
        <f t="shared" ref="C53:Z53" si="15">MAX(0,C34-C44)</f>
        <v>0</v>
      </c>
      <c r="D53" s="15">
        <f t="shared" si="15"/>
        <v>7.2000000000000011</v>
      </c>
      <c r="E53" s="15">
        <f t="shared" si="15"/>
        <v>10.044873000000001</v>
      </c>
      <c r="F53" s="15">
        <f t="shared" si="15"/>
        <v>12.783255732000002</v>
      </c>
      <c r="G53" s="15">
        <f t="shared" si="15"/>
        <v>15.444197751888002</v>
      </c>
      <c r="H53" s="15">
        <f t="shared" si="15"/>
        <v>18.102808258252992</v>
      </c>
      <c r="I53" s="15">
        <f t="shared" si="15"/>
        <v>20.773116931873613</v>
      </c>
      <c r="J53" s="15">
        <f t="shared" si="15"/>
        <v>23.463928042139198</v>
      </c>
      <c r="K53" s="15">
        <f t="shared" si="15"/>
        <v>26.183538223861603</v>
      </c>
      <c r="L53" s="15">
        <f t="shared" si="15"/>
        <v>28.940158134811494</v>
      </c>
      <c r="M53" s="15">
        <f t="shared" si="15"/>
        <v>31.741972664295535</v>
      </c>
      <c r="N53" s="15">
        <f t="shared" si="15"/>
        <v>34.597170294295758</v>
      </c>
      <c r="O53" s="15">
        <f t="shared" si="15"/>
        <v>37.513969469825135</v>
      </c>
      <c r="P53" s="15">
        <f t="shared" si="15"/>
        <v>40.500644401824012</v>
      </c>
      <c r="Q53" s="15">
        <f t="shared" si="15"/>
        <v>43.565550587077084</v>
      </c>
      <c r="R53" s="15">
        <f t="shared" si="15"/>
        <v>46.717150147822352</v>
      </c>
      <c r="S53" s="15">
        <f t="shared" si="15"/>
        <v>49.964037076595822</v>
      </c>
      <c r="T53" s="15">
        <f t="shared" si="15"/>
        <v>53.314962468839497</v>
      </c>
      <c r="U53" s="15">
        <f t="shared" si="15"/>
        <v>56.778859824236861</v>
      </c>
      <c r="V53" s="15">
        <f t="shared" si="15"/>
        <v>60.364870496558957</v>
      </c>
      <c r="W53" s="15">
        <f t="shared" si="15"/>
        <v>64.082369370906108</v>
      </c>
      <c r="X53" s="15">
        <f t="shared" si="15"/>
        <v>67.94099084660138</v>
      </c>
      <c r="Y53" s="15">
        <f t="shared" si="15"/>
        <v>71.950655203623825</v>
      </c>
      <c r="Z53" s="15">
        <f t="shared" si="15"/>
        <v>76.121595430357075</v>
      </c>
    </row>
    <row r="54" spans="1:2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4" t="s">
        <v>283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>
      <c r="A56" s="1" t="s">
        <v>284</v>
      </c>
      <c r="B56" s="1" t="s">
        <v>90</v>
      </c>
      <c r="C56" s="14">
        <f>C31*Assumptions!$C$38+C32*Assumptions!$C$39+C33*Assumptions!$C$40</f>
        <v>0</v>
      </c>
      <c r="D56" s="14">
        <f>D31*Assumptions!$C$38+D32*Assumptions!$C$39+D33*Assumptions!$C$40</f>
        <v>1656</v>
      </c>
      <c r="E56" s="14">
        <f>E31*Assumptions!$C$38+E32*Assumptions!$C$39+E33*Assumptions!$C$40</f>
        <v>2325.2309999999998</v>
      </c>
      <c r="F56" s="14">
        <f>F31*Assumptions!$C$38+F32*Assumptions!$C$39+F33*Assumptions!$C$40</f>
        <v>2941.4012760000001</v>
      </c>
      <c r="G56" s="14">
        <f>G31*Assumptions!$C$38+G32*Assumptions!$C$39+G33*Assumptions!$C$40</f>
        <v>3552.2706893760005</v>
      </c>
      <c r="H56" s="14">
        <f>H31*Assumptions!$C$38+H32*Assumptions!$C$39+H33*Assumptions!$C$40</f>
        <v>4163.6547367392959</v>
      </c>
      <c r="I56" s="14">
        <f>I31*Assumptions!$C$38+I32*Assumptions!$C$39+I33*Assumptions!$C$40</f>
        <v>4777.8176366675834</v>
      </c>
      <c r="J56" s="14">
        <f>J31*Assumptions!$C$38+J32*Assumptions!$C$39+J33*Assumptions!$C$40</f>
        <v>5396.7035120482942</v>
      </c>
      <c r="K56" s="14">
        <f>K31*Assumptions!$C$38+K32*Assumptions!$C$39+K33*Assumptions!$C$40</f>
        <v>6022.2137967260969</v>
      </c>
      <c r="L56" s="14">
        <f>L31*Assumptions!$C$38+L32*Assumptions!$C$39+L33*Assumptions!$C$40</f>
        <v>6656.2363714466301</v>
      </c>
      <c r="M56" s="14">
        <f>M31*Assumptions!$C$38+M32*Assumptions!$C$39+M33*Assumptions!$C$40</f>
        <v>7300.6537128249311</v>
      </c>
      <c r="N56" s="14">
        <f>N31*Assumptions!$C$38+N32*Assumptions!$C$39+N33*Assumptions!$C$40</f>
        <v>7957.3491676911299</v>
      </c>
      <c r="O56" s="14">
        <f>O31*Assumptions!$C$38+O32*Assumptions!$C$39+O33*Assumptions!$C$40</f>
        <v>8628.2129780600408</v>
      </c>
      <c r="P56" s="14">
        <f>P31*Assumptions!$C$38+P32*Assumptions!$C$39+P33*Assumptions!$C$40</f>
        <v>9315.1482124195427</v>
      </c>
      <c r="Q56" s="14">
        <f>Q31*Assumptions!$C$38+Q32*Assumptions!$C$39+Q33*Assumptions!$C$40</f>
        <v>10020.07663502773</v>
      </c>
      <c r="R56" s="14">
        <f>R31*Assumptions!$C$38+R32*Assumptions!$C$39+R33*Assumptions!$C$40</f>
        <v>10744.94453399914</v>
      </c>
      <c r="S56" s="14">
        <f>S31*Assumptions!$C$38+S32*Assumptions!$C$39+S33*Assumptions!$C$40</f>
        <v>11491.728527617037</v>
      </c>
      <c r="T56" s="14">
        <f>T31*Assumptions!$C$38+T32*Assumptions!$C$39+T33*Assumptions!$C$40</f>
        <v>12262.441367833086</v>
      </c>
      <c r="U56" s="14">
        <f>U31*Assumptions!$C$38+U32*Assumptions!$C$39+U33*Assumptions!$C$40</f>
        <v>13059.13775957448</v>
      </c>
      <c r="V56" s="14">
        <f>V31*Assumptions!$C$38+V32*Assumptions!$C$39+V33*Assumptions!$C$40</f>
        <v>13883.920214208561</v>
      </c>
      <c r="W56" s="14">
        <f>W31*Assumptions!$C$38+W32*Assumptions!$C$39+W33*Assumptions!$C$40</f>
        <v>14738.944955308405</v>
      </c>
      <c r="X56" s="14">
        <f>X31*Assumptions!$C$38+X32*Assumptions!$C$39+X33*Assumptions!$C$40</f>
        <v>15626.427894718317</v>
      </c>
      <c r="Y56" s="14">
        <f>Y31*Assumptions!$C$38+Y32*Assumptions!$C$39+Y33*Assumptions!$C$40</f>
        <v>16548.65069683348</v>
      </c>
      <c r="Z56" s="14">
        <f>Z31*Assumptions!$C$38+Z32*Assumptions!$C$39+Z33*Assumptions!$C$40</f>
        <v>17507.966948982124</v>
      </c>
    </row>
    <row r="57" spans="1:26" ht="16.5" customHeight="1">
      <c r="A57" s="1" t="s">
        <v>285</v>
      </c>
      <c r="B57" s="1" t="s">
        <v>90</v>
      </c>
      <c r="C57" s="14">
        <f>C41*MIN(Assumptions!$C$41,Assumptions!$C$10)/MAX(1,ROUNDUP(Assumptions!$C$9/30,0))</f>
        <v>960</v>
      </c>
      <c r="D57" s="14">
        <f>D41*MIN(Assumptions!$C$41,Assumptions!$C$10)/MAX(1,ROUNDUP(Assumptions!$C$9/30,0))</f>
        <v>1078.56</v>
      </c>
      <c r="E57" s="14">
        <f>E41*MIN(Assumptions!$C$41,Assumptions!$C$10)/MAX(1,ROUNDUP(Assumptions!$C$9/30,0))</f>
        <v>1064.3270400000001</v>
      </c>
      <c r="F57" s="14">
        <f>F41*MIN(Assumptions!$C$41,Assumptions!$C$10)/MAX(1,ROUNDUP(Assumptions!$C$9/30,0))</f>
        <v>1111.8178713600003</v>
      </c>
      <c r="G57" s="14">
        <f>G41*MIN(Assumptions!$C$41,Assumptions!$C$10)/MAX(1,ROUNDUP(Assumptions!$C$9/30,0))</f>
        <v>1166.9278211942399</v>
      </c>
      <c r="H57" s="14">
        <f>H41*MIN(Assumptions!$C$41,Assumptions!$C$10)/MAX(1,ROUNDUP(Assumptions!$C$9/30,0))</f>
        <v>1225.2338129803163</v>
      </c>
      <c r="I57" s="14">
        <f>I41*MIN(Assumptions!$C$41,Assumptions!$C$10)/MAX(1,ROUNDUP(Assumptions!$C$9/30,0))</f>
        <v>1286.4921100903464</v>
      </c>
      <c r="J57" s="14">
        <f>J41*MIN(Assumptions!$C$41,Assumptions!$C$10)/MAX(1,ROUNDUP(Assumptions!$C$9/30,0))</f>
        <v>1350.8164305375894</v>
      </c>
      <c r="K57" s="14">
        <f>K41*MIN(Assumptions!$C$41,Assumptions!$C$10)/MAX(1,ROUNDUP(Assumptions!$C$9/30,0))</f>
        <v>1418.3572281196573</v>
      </c>
      <c r="L57" s="14">
        <f>L41*MIN(Assumptions!$C$41,Assumptions!$C$10)/MAX(1,ROUNDUP(Assumptions!$C$9/30,0))</f>
        <v>1489.2750875142765</v>
      </c>
      <c r="M57" s="14">
        <f>M41*MIN(Assumptions!$C$41,Assumptions!$C$10)/MAX(1,ROUNDUP(Assumptions!$C$9/30,0))</f>
        <v>1563.7388417210357</v>
      </c>
      <c r="N57" s="14">
        <f>N41*MIN(Assumptions!$C$41,Assumptions!$C$10)/MAX(1,ROUNDUP(Assumptions!$C$9/30,0))</f>
        <v>1641.9257837928953</v>
      </c>
      <c r="O57" s="14">
        <f>O41*MIN(Assumptions!$C$41,Assumptions!$C$10)/MAX(1,ROUNDUP(Assumptions!$C$9/30,0))</f>
        <v>1724.0220729813477</v>
      </c>
      <c r="P57" s="14">
        <f>P41*MIN(Assumptions!$C$41,Assumptions!$C$10)/MAX(1,ROUNDUP(Assumptions!$C$9/30,0))</f>
        <v>1810.2231766303153</v>
      </c>
      <c r="Q57" s="14">
        <f>Q41*MIN(Assumptions!$C$41,Assumptions!$C$10)/MAX(1,ROUNDUP(Assumptions!$C$9/30,0))</f>
        <v>1900.734335461822</v>
      </c>
      <c r="R57" s="14">
        <f>R41*MIN(Assumptions!$C$41,Assumptions!$C$10)/MAX(1,ROUNDUP(Assumptions!$C$9/30,0))</f>
        <v>1995.771052234913</v>
      </c>
      <c r="S57" s="14">
        <f>S41*MIN(Assumptions!$C$41,Assumptions!$C$10)/MAX(1,ROUNDUP(Assumptions!$C$9/30,0))</f>
        <v>2095.5596048466582</v>
      </c>
      <c r="T57" s="14">
        <f>T41*MIN(Assumptions!$C$41,Assumptions!$C$10)/MAX(1,ROUNDUP(Assumptions!$C$9/30,0))</f>
        <v>2200.337585088992</v>
      </c>
      <c r="U57" s="14">
        <f>U41*MIN(Assumptions!$C$41,Assumptions!$C$10)/MAX(1,ROUNDUP(Assumptions!$C$9/30,0))</f>
        <v>2310.3544643434411</v>
      </c>
      <c r="V57" s="14">
        <f>V41*MIN(Assumptions!$C$41,Assumptions!$C$10)/MAX(1,ROUNDUP(Assumptions!$C$9/30,0))</f>
        <v>2425.8721875606134</v>
      </c>
      <c r="W57" s="14">
        <f>W41*MIN(Assumptions!$C$41,Assumptions!$C$10)/MAX(1,ROUNDUP(Assumptions!$C$9/30,0))</f>
        <v>2547.1657969386438</v>
      </c>
      <c r="X57" s="14">
        <f>X41*MIN(Assumptions!$C$41,Assumptions!$C$10)/MAX(1,ROUNDUP(Assumptions!$C$9/30,0))</f>
        <v>2674.5240867855764</v>
      </c>
      <c r="Y57" s="14">
        <f>Y41*MIN(Assumptions!$C$41,Assumptions!$C$10)/MAX(1,ROUNDUP(Assumptions!$C$9/30,0))</f>
        <v>2808.2502911248548</v>
      </c>
      <c r="Z57" s="14">
        <f>Z41*MIN(Assumptions!$C$41,Assumptions!$C$10)/MAX(1,ROUNDUP(Assumptions!$C$9/30,0))</f>
        <v>2948.6628056810978</v>
      </c>
    </row>
    <row r="58" spans="1:26" ht="16.5" customHeight="1">
      <c r="A58" s="1" t="s">
        <v>286</v>
      </c>
      <c r="B58" s="1" t="s">
        <v>90</v>
      </c>
      <c r="C58" s="14">
        <f>C42*Assumptions!$C$42</f>
        <v>2100</v>
      </c>
      <c r="D58" s="14">
        <f>D42*Assumptions!$C$42</f>
        <v>0</v>
      </c>
      <c r="E58" s="14">
        <f>E42*Assumptions!$C$42</f>
        <v>0</v>
      </c>
      <c r="F58" s="14">
        <f>F42*Assumptions!$C$42</f>
        <v>0</v>
      </c>
      <c r="G58" s="14">
        <f>G42*Assumptions!$C$42</f>
        <v>0</v>
      </c>
      <c r="H58" s="14">
        <f>H42*Assumptions!$C$42</f>
        <v>0</v>
      </c>
      <c r="I58" s="14">
        <f>I42*Assumptions!$C$42</f>
        <v>0</v>
      </c>
      <c r="J58" s="14">
        <f>J42*Assumptions!$C$42</f>
        <v>0</v>
      </c>
      <c r="K58" s="14">
        <f>K42*Assumptions!$C$42</f>
        <v>0</v>
      </c>
      <c r="L58" s="14">
        <f>L42*Assumptions!$C$42</f>
        <v>0</v>
      </c>
      <c r="M58" s="14">
        <f>M42*Assumptions!$C$42</f>
        <v>0</v>
      </c>
      <c r="N58" s="14">
        <f>N42*Assumptions!$C$42</f>
        <v>0</v>
      </c>
      <c r="O58" s="14">
        <f>O42*Assumptions!$C$42</f>
        <v>0</v>
      </c>
      <c r="P58" s="14">
        <f>P42*Assumptions!$C$42</f>
        <v>0</v>
      </c>
      <c r="Q58" s="14">
        <f>Q42*Assumptions!$C$42</f>
        <v>0</v>
      </c>
      <c r="R58" s="14">
        <f>R42*Assumptions!$C$42</f>
        <v>0</v>
      </c>
      <c r="S58" s="14">
        <f>S42*Assumptions!$C$42</f>
        <v>0</v>
      </c>
      <c r="T58" s="14">
        <f>T42*Assumptions!$C$42</f>
        <v>0</v>
      </c>
      <c r="U58" s="14">
        <f>U42*Assumptions!$C$42</f>
        <v>0</v>
      </c>
      <c r="V58" s="14">
        <f>V42*Assumptions!$C$42</f>
        <v>0</v>
      </c>
      <c r="W58" s="14">
        <f>W42*Assumptions!$C$42</f>
        <v>0</v>
      </c>
      <c r="X58" s="14">
        <f>X42*Assumptions!$C$42</f>
        <v>0</v>
      </c>
      <c r="Y58" s="14">
        <f>Y42*Assumptions!$C$42</f>
        <v>0</v>
      </c>
      <c r="Z58" s="14">
        <f>Z42*Assumptions!$C$42</f>
        <v>0</v>
      </c>
    </row>
    <row r="59" spans="1:26" ht="16.5" customHeight="1">
      <c r="A59" s="1" t="s">
        <v>287</v>
      </c>
      <c r="B59" s="1" t="s">
        <v>90</v>
      </c>
      <c r="C59" s="14">
        <f>C40*Assumptions!$C$43</f>
        <v>750</v>
      </c>
      <c r="D59" s="14">
        <f>D40*Assumptions!$C$43</f>
        <v>1969.6800000000003</v>
      </c>
      <c r="E59" s="14">
        <f>E40*Assumptions!$C$43</f>
        <v>2524.8655200000007</v>
      </c>
      <c r="F59" s="14">
        <f>F40*Assumptions!$C$43</f>
        <v>2933.5562284800003</v>
      </c>
      <c r="G59" s="14">
        <f>G40*Assumptions!$C$43</f>
        <v>3277.0759388851206</v>
      </c>
      <c r="H59" s="14">
        <f>H40*Assumptions!$C$43</f>
        <v>3580.758578570812</v>
      </c>
      <c r="I59" s="14">
        <f>I40*Assumptions!$C$43</f>
        <v>3859.8255065285243</v>
      </c>
      <c r="J59" s="14">
        <f>J40*Assumptions!$C$43</f>
        <v>4124.8685117618843</v>
      </c>
      <c r="K59" s="14">
        <f>K40*Assumptions!$C$43</f>
        <v>4383.4512595155966</v>
      </c>
      <c r="L59" s="14">
        <f>L40*Assumptions!$C$43</f>
        <v>4641.0428022642545</v>
      </c>
      <c r="M59" s="14">
        <f>M40*Assumptions!$C$43</f>
        <v>4901.6556813431598</v>
      </c>
      <c r="N59" s="14">
        <f>N40*Assumptions!$C$43</f>
        <v>5168.2917198139758</v>
      </c>
      <c r="O59" s="14">
        <f>O40*Assumptions!$C$43</f>
        <v>5443.2544339229862</v>
      </c>
      <c r="P59" s="14">
        <f>P40*Assumptions!$C$43</f>
        <v>5728.3682009424947</v>
      </c>
      <c r="Q59" s="14">
        <f>Q40*Assumptions!$C$43</f>
        <v>6025.1321875961112</v>
      </c>
      <c r="R59" s="14">
        <f>R40*Assumptions!$C$43</f>
        <v>6334.8286354083239</v>
      </c>
      <c r="S59" s="14">
        <f>S40*Assumptions!$C$43</f>
        <v>6658.5992210615877</v>
      </c>
      <c r="T59" s="14">
        <f>T40*Assumptions!$C$43</f>
        <v>6997.4990957260898</v>
      </c>
      <c r="U59" s="14">
        <f>U40*Assumptions!$C$43</f>
        <v>7352.5353275566449</v>
      </c>
      <c r="V59" s="14">
        <f>V40*Assumptions!$C$43</f>
        <v>7724.6944557806655</v>
      </c>
      <c r="W59" s="14">
        <f>W40*Assumptions!$C$43</f>
        <v>8114.9624538306698</v>
      </c>
      <c r="X59" s="14">
        <f>X40*Assumptions!$C$43</f>
        <v>8524.3394113675295</v>
      </c>
      <c r="Y59" s="14">
        <f>Y40*Assumptions!$C$43</f>
        <v>8953.85055379187</v>
      </c>
      <c r="Z59" s="14">
        <f>Z40*Assumptions!$C$43</f>
        <v>9404.5547340471603</v>
      </c>
    </row>
    <row r="60" spans="1:26" ht="16.5" customHeight="1">
      <c r="A60" s="1" t="s">
        <v>288</v>
      </c>
      <c r="B60" s="1" t="s">
        <v>90</v>
      </c>
      <c r="C60" s="14">
        <f>SUM(C56:C58)*Assumptions!$C$44</f>
        <v>3060</v>
      </c>
      <c r="D60" s="14">
        <f>SUM(D56:D58)*Assumptions!$C$44</f>
        <v>2734.56</v>
      </c>
      <c r="E60" s="14">
        <f>SUM(E56:E58)*Assumptions!$C$44</f>
        <v>3389.5580399999999</v>
      </c>
      <c r="F60" s="14">
        <f>SUM(F56:F58)*Assumptions!$C$44</f>
        <v>4053.2191473600005</v>
      </c>
      <c r="G60" s="14">
        <f>SUM(G56:G58)*Assumptions!$C$44</f>
        <v>4719.1985105702406</v>
      </c>
      <c r="H60" s="14">
        <f>SUM(H56:H58)*Assumptions!$C$44</f>
        <v>5388.8885497196125</v>
      </c>
      <c r="I60" s="14">
        <f>SUM(I56:I58)*Assumptions!$C$44</f>
        <v>6064.30974675793</v>
      </c>
      <c r="J60" s="14">
        <f>SUM(J56:J58)*Assumptions!$C$44</f>
        <v>6747.5199425858837</v>
      </c>
      <c r="K60" s="14">
        <f>SUM(K56:K58)*Assumptions!$C$44</f>
        <v>7440.5710248457544</v>
      </c>
      <c r="L60" s="14">
        <f>SUM(L56:L58)*Assumptions!$C$44</f>
        <v>8145.5114589609066</v>
      </c>
      <c r="M60" s="14">
        <f>SUM(M56:M58)*Assumptions!$C$44</f>
        <v>8864.392554545966</v>
      </c>
      <c r="N60" s="14">
        <f>SUM(N56:N58)*Assumptions!$C$44</f>
        <v>9599.2749514840252</v>
      </c>
      <c r="O60" s="14">
        <f>SUM(O56:O58)*Assumptions!$C$44</f>
        <v>10352.235051041389</v>
      </c>
      <c r="P60" s="14">
        <f>SUM(P56:P58)*Assumptions!$C$44</f>
        <v>11125.371389049858</v>
      </c>
      <c r="Q60" s="14">
        <f>SUM(Q56:Q58)*Assumptions!$C$44</f>
        <v>11920.810970489552</v>
      </c>
      <c r="R60" s="14">
        <f>SUM(R56:R58)*Assumptions!$C$44</f>
        <v>12740.715586234053</v>
      </c>
      <c r="S60" s="14">
        <f>SUM(S56:S58)*Assumptions!$C$44</f>
        <v>13587.288132463695</v>
      </c>
      <c r="T60" s="14">
        <f>SUM(T56:T58)*Assumptions!$C$44</f>
        <v>14462.778952922077</v>
      </c>
      <c r="U60" s="14">
        <f>SUM(U56:U58)*Assumptions!$C$44</f>
        <v>15369.492223917921</v>
      </c>
      <c r="V60" s="14">
        <f>SUM(V56:V58)*Assumptions!$C$44</f>
        <v>16309.792401769175</v>
      </c>
      <c r="W60" s="14">
        <f>SUM(W56:W58)*Assumptions!$C$44</f>
        <v>17286.110752247048</v>
      </c>
      <c r="X60" s="14">
        <f>SUM(X56:X58)*Assumptions!$C$44</f>
        <v>18300.951981503895</v>
      </c>
      <c r="Y60" s="14">
        <f>SUM(Y56:Y58)*Assumptions!$C$44</f>
        <v>19356.900987958335</v>
      </c>
      <c r="Z60" s="14">
        <f>SUM(Z56:Z58)*Assumptions!$C$44</f>
        <v>20456.629754663223</v>
      </c>
    </row>
    <row r="61" spans="1:26" ht="16.5" customHeight="1">
      <c r="A61" s="1" t="s">
        <v>289</v>
      </c>
      <c r="B61" s="1" t="s">
        <v>168</v>
      </c>
      <c r="C61" s="14">
        <f>C60*Assumptions!$C$45*Assumptions!$C$47</f>
        <v>1836000</v>
      </c>
      <c r="D61" s="14">
        <f>D60*Assumptions!$C$45*Assumptions!$C$47</f>
        <v>1640736</v>
      </c>
      <c r="E61" s="14">
        <f>E60*Assumptions!$C$45*Assumptions!$C$47</f>
        <v>2033734.824</v>
      </c>
      <c r="F61" s="14">
        <f>F60*Assumptions!$C$45*Assumptions!$C$47</f>
        <v>2431931.4884160003</v>
      </c>
      <c r="G61" s="14">
        <f>G60*Assumptions!$C$45*Assumptions!$C$47</f>
        <v>2831519.1063421438</v>
      </c>
      <c r="H61" s="14">
        <f>H60*Assumptions!$C$45*Assumptions!$C$47</f>
        <v>3233333.1298317672</v>
      </c>
      <c r="I61" s="14">
        <f>I60*Assumptions!$C$45*Assumptions!$C$47</f>
        <v>3638585.8480547578</v>
      </c>
      <c r="J61" s="14">
        <f>J60*Assumptions!$C$45*Assumptions!$C$47</f>
        <v>4048511.96555153</v>
      </c>
      <c r="K61" s="14">
        <f>K60*Assumptions!$C$45*Assumptions!$C$47</f>
        <v>4464342.6149074528</v>
      </c>
      <c r="L61" s="14">
        <f>L60*Assumptions!$C$45*Assumptions!$C$47</f>
        <v>4887306.875376544</v>
      </c>
      <c r="M61" s="14">
        <f>M60*Assumptions!$C$45*Assumptions!$C$47</f>
        <v>5318635.5327275796</v>
      </c>
      <c r="N61" s="14">
        <f>N60*Assumptions!$C$45*Assumptions!$C$47</f>
        <v>5759564.9708904149</v>
      </c>
      <c r="O61" s="14">
        <f>O60*Assumptions!$C$45*Assumptions!$C$47</f>
        <v>6211341.030624833</v>
      </c>
      <c r="P61" s="14">
        <f>P60*Assumptions!$C$45*Assumptions!$C$47</f>
        <v>6675222.8334299149</v>
      </c>
      <c r="Q61" s="14">
        <f>Q60*Assumptions!$C$45*Assumptions!$C$47</f>
        <v>7152486.5822937312</v>
      </c>
      <c r="R61" s="14">
        <f>R60*Assumptions!$C$45*Assumptions!$C$47</f>
        <v>7644429.351740432</v>
      </c>
      <c r="S61" s="14">
        <f>S60*Assumptions!$C$45*Assumptions!$C$47</f>
        <v>8152372.8794782171</v>
      </c>
      <c r="T61" s="14">
        <f>T60*Assumptions!$C$45*Assumptions!$C$47</f>
        <v>8677667.3717532456</v>
      </c>
      <c r="U61" s="14">
        <f>U60*Assumptions!$C$45*Assumptions!$C$47</f>
        <v>9221695.3343507536</v>
      </c>
      <c r="V61" s="14">
        <f>V60*Assumptions!$C$45*Assumptions!$C$47</f>
        <v>9785875.4410615042</v>
      </c>
      <c r="W61" s="14">
        <f>W60*Assumptions!$C$45*Assumptions!$C$47</f>
        <v>10371666.451348228</v>
      </c>
      <c r="X61" s="14">
        <f>X60*Assumptions!$C$45*Assumptions!$C$47</f>
        <v>10980571.188902337</v>
      </c>
      <c r="Y61" s="14">
        <f>Y60*Assumptions!$C$45*Assumptions!$C$47</f>
        <v>11614140.592775</v>
      </c>
      <c r="Z61" s="14">
        <f>Z60*Assumptions!$C$45*Assumptions!$C$47</f>
        <v>12273977.852797933</v>
      </c>
    </row>
    <row r="62" spans="1:26" ht="16.5" customHeight="1">
      <c r="A62" s="1" t="s">
        <v>290</v>
      </c>
      <c r="B62" s="1" t="s">
        <v>168</v>
      </c>
      <c r="C62" s="14">
        <f>C60*Assumptions!$C$46*Assumptions!$C$47</f>
        <v>367200</v>
      </c>
      <c r="D62" s="14">
        <f>D60*Assumptions!$C$46*Assumptions!$C$47</f>
        <v>328147.20000000001</v>
      </c>
      <c r="E62" s="14">
        <f>E60*Assumptions!$C$46*Assumptions!$C$47</f>
        <v>406746.96480000002</v>
      </c>
      <c r="F62" s="14">
        <f>F60*Assumptions!$C$46*Assumptions!$C$47</f>
        <v>486386.29768320004</v>
      </c>
      <c r="G62" s="14">
        <f>G60*Assumptions!$C$46*Assumptions!$C$47</f>
        <v>566303.82126842893</v>
      </c>
      <c r="H62" s="14">
        <f>H60*Assumptions!$C$46*Assumptions!$C$47</f>
        <v>646666.62596635346</v>
      </c>
      <c r="I62" s="14">
        <f>I60*Assumptions!$C$46*Assumptions!$C$47</f>
        <v>727717.16961095156</v>
      </c>
      <c r="J62" s="14">
        <f>J60*Assumptions!$C$46*Assumptions!$C$47</f>
        <v>809702.39311030612</v>
      </c>
      <c r="K62" s="14">
        <f>K60*Assumptions!$C$46*Assumptions!$C$47</f>
        <v>892868.52298149059</v>
      </c>
      <c r="L62" s="14">
        <f>L60*Assumptions!$C$46*Assumptions!$C$47</f>
        <v>977461.37507530872</v>
      </c>
      <c r="M62" s="14">
        <f>M60*Assumptions!$C$46*Assumptions!$C$47</f>
        <v>1063727.1065455158</v>
      </c>
      <c r="N62" s="14">
        <f>N60*Assumptions!$C$46*Assumptions!$C$47</f>
        <v>1151912.994178083</v>
      </c>
      <c r="O62" s="14">
        <f>O60*Assumptions!$C$46*Assumptions!$C$47</f>
        <v>1242268.2061249665</v>
      </c>
      <c r="P62" s="14">
        <f>P60*Assumptions!$C$46*Assumptions!$C$47</f>
        <v>1335044.5666859827</v>
      </c>
      <c r="Q62" s="14">
        <f>Q60*Assumptions!$C$46*Assumptions!$C$47</f>
        <v>1430497.3164587463</v>
      </c>
      <c r="R62" s="14">
        <f>R60*Assumptions!$C$46*Assumptions!$C$47</f>
        <v>1528885.8703480863</v>
      </c>
      <c r="S62" s="14">
        <f>S60*Assumptions!$C$46*Assumptions!$C$47</f>
        <v>1630474.5758956431</v>
      </c>
      <c r="T62" s="14">
        <f>T60*Assumptions!$C$46*Assumptions!$C$47</f>
        <v>1735533.4743506494</v>
      </c>
      <c r="U62" s="14">
        <f>U60*Assumptions!$C$46*Assumptions!$C$47</f>
        <v>1844339.0668701504</v>
      </c>
      <c r="V62" s="14">
        <f>V60*Assumptions!$C$46*Assumptions!$C$47</f>
        <v>1957175.088212301</v>
      </c>
      <c r="W62" s="14">
        <f>W60*Assumptions!$C$46*Assumptions!$C$47</f>
        <v>2074333.2902696456</v>
      </c>
      <c r="X62" s="14">
        <f>X60*Assumptions!$C$46*Assumptions!$C$47</f>
        <v>2196114.2377804671</v>
      </c>
      <c r="Y62" s="14">
        <f>Y60*Assumptions!$C$46*Assumptions!$C$47</f>
        <v>2322828.1185550001</v>
      </c>
      <c r="Z62" s="14">
        <f>Z60*Assumptions!$C$46*Assumptions!$C$47</f>
        <v>2454795.5705595869</v>
      </c>
    </row>
    <row r="63" spans="1:26" ht="16.5" customHeight="1">
      <c r="A63" s="1" t="s">
        <v>291</v>
      </c>
      <c r="B63" s="1" t="s">
        <v>78</v>
      </c>
      <c r="C63" s="15">
        <f>(C61*(Assumptions!$C$49*(1-Assumptions!$C$48)+Assumptions!$C$51*Assumptions!$C$48)+C62*(Assumptions!$C$50*(1-Assumptions!$C$48)+Assumptions!$C$52*Assumptions!$C$48))/1000000*Assumptions!$C$54</f>
        <v>4086.9359999999997</v>
      </c>
      <c r="D63" s="15">
        <f>(D61*(Assumptions!$C$49*(1-Assumptions!$C$48)+Assumptions!$C$51*Assumptions!$C$48)+D62*(Assumptions!$C$50*(1-Assumptions!$C$48)+Assumptions!$C$52*Assumptions!$C$48))/1000000*Assumptions!$C$54</f>
        <v>3652.2783360000003</v>
      </c>
      <c r="E63" s="15">
        <f>(E61*(Assumptions!$C$49*(1-Assumptions!$C$48)+Assumptions!$C$51*Assumptions!$C$48)+E62*(Assumptions!$C$50*(1-Assumptions!$C$48)+Assumptions!$C$52*Assumptions!$C$48))/1000000*Assumptions!$C$54</f>
        <v>4527.0937182240004</v>
      </c>
      <c r="F63" s="15">
        <f>(F61*(Assumptions!$C$49*(1-Assumptions!$C$48)+Assumptions!$C$51*Assumptions!$C$48)+F62*(Assumptions!$C$50*(1-Assumptions!$C$48)+Assumptions!$C$52*Assumptions!$C$48))/1000000*Assumptions!$C$54</f>
        <v>5413.4794932140167</v>
      </c>
      <c r="G63" s="15">
        <f>(G61*(Assumptions!$C$49*(1-Assumptions!$C$48)+Assumptions!$C$51*Assumptions!$C$48)+G62*(Assumptions!$C$50*(1-Assumptions!$C$48)+Assumptions!$C$52*Assumptions!$C$48))/1000000*Assumptions!$C$54</f>
        <v>6302.9615307176127</v>
      </c>
      <c r="H63" s="15">
        <f>(H61*(Assumptions!$C$49*(1-Assumptions!$C$48)+Assumptions!$C$51*Assumptions!$C$48)+H62*(Assumptions!$C$50*(1-Assumptions!$C$48)+Assumptions!$C$52*Assumptions!$C$48))/1000000*Assumptions!$C$54</f>
        <v>7197.3995470055143</v>
      </c>
      <c r="I63" s="15">
        <f>(I61*(Assumptions!$C$49*(1-Assumptions!$C$48)+Assumptions!$C$51*Assumptions!$C$48)+I62*(Assumptions!$C$50*(1-Assumptions!$C$48)+Assumptions!$C$52*Assumptions!$C$48))/1000000*Assumptions!$C$54</f>
        <v>8099.4920977698912</v>
      </c>
      <c r="J63" s="15">
        <f>(J61*(Assumptions!$C$49*(1-Assumptions!$C$48)+Assumptions!$C$51*Assumptions!$C$48)+J62*(Assumptions!$C$50*(1-Assumptions!$C$48)+Assumptions!$C$52*Assumptions!$C$48))/1000000*Assumptions!$C$54</f>
        <v>9011.9876353177078</v>
      </c>
      <c r="K63" s="15">
        <f>(K61*(Assumptions!$C$49*(1-Assumptions!$C$48)+Assumptions!$C$51*Assumptions!$C$48)+K62*(Assumptions!$C$50*(1-Assumptions!$C$48)+Assumptions!$C$52*Assumptions!$C$48))/1000000*Assumptions!$C$54</f>
        <v>9937.6266607839898</v>
      </c>
      <c r="L63" s="15">
        <f>(L61*(Assumptions!$C$49*(1-Assumptions!$C$48)+Assumptions!$C$51*Assumptions!$C$48)+L62*(Assumptions!$C$50*(1-Assumptions!$C$48)+Assumptions!$C$52*Assumptions!$C$48))/1000000*Assumptions!$C$54</f>
        <v>10879.145104588188</v>
      </c>
      <c r="M63" s="15">
        <f>(M61*(Assumptions!$C$49*(1-Assumptions!$C$48)+Assumptions!$C$51*Assumptions!$C$48)+M62*(Assumptions!$C$50*(1-Assumptions!$C$48)+Assumptions!$C$52*Assumptions!$C$48))/1000000*Assumptions!$C$54</f>
        <v>11839.282695851593</v>
      </c>
      <c r="N63" s="15">
        <f>(N61*(Assumptions!$C$49*(1-Assumptions!$C$48)+Assumptions!$C$51*Assumptions!$C$48)+N62*(Assumptions!$C$50*(1-Assumptions!$C$48)+Assumptions!$C$52*Assumptions!$C$48))/1000000*Assumptions!$C$54</f>
        <v>12820.791625202064</v>
      </c>
      <c r="O63" s="15">
        <f>(O61*(Assumptions!$C$49*(1-Assumptions!$C$48)+Assumptions!$C$51*Assumptions!$C$48)+O62*(Assumptions!$C$50*(1-Assumptions!$C$48)+Assumptions!$C$52*Assumptions!$C$48))/1000000*Assumptions!$C$54</f>
        <v>13826.445134170879</v>
      </c>
      <c r="P63" s="15">
        <f>(P61*(Assumptions!$C$49*(1-Assumptions!$C$48)+Assumptions!$C$51*Assumptions!$C$48)+P62*(Assumptions!$C$50*(1-Assumptions!$C$48)+Assumptions!$C$52*Assumptions!$C$48))/1000000*Assumptions!$C$54</f>
        <v>14859.046027214988</v>
      </c>
      <c r="Q63" s="15">
        <f>(Q61*(Assumptions!$C$49*(1-Assumptions!$C$48)+Assumptions!$C$51*Assumptions!$C$48)+Q62*(Assumptions!$C$50*(1-Assumptions!$C$48)+Assumptions!$C$52*Assumptions!$C$48))/1000000*Assumptions!$C$54</f>
        <v>15921.435132185847</v>
      </c>
      <c r="R63" s="15">
        <f>(R61*(Assumptions!$C$49*(1-Assumptions!$C$48)+Assumptions!$C$51*Assumptions!$C$48)+R62*(Assumptions!$C$50*(1-Assumptions!$C$48)+Assumptions!$C$52*Assumptions!$C$48))/1000000*Assumptions!$C$54</f>
        <v>17016.499736974201</v>
      </c>
      <c r="S63" s="15">
        <f>(S61*(Assumptions!$C$49*(1-Assumptions!$C$48)+Assumptions!$C$51*Assumptions!$C$48)+S62*(Assumptions!$C$50*(1-Assumptions!$C$48)+Assumptions!$C$52*Assumptions!$C$48))/1000000*Assumptions!$C$54</f>
        <v>18147.182029718511</v>
      </c>
      <c r="T63" s="15">
        <f>(T61*(Assumptions!$C$49*(1-Assumptions!$C$48)+Assumptions!$C$51*Assumptions!$C$48)+T62*(Assumptions!$C$50*(1-Assumptions!$C$48)+Assumptions!$C$52*Assumptions!$C$48))/1000000*Assumptions!$C$54</f>
        <v>19316.487569522727</v>
      </c>
      <c r="U63" s="15">
        <f>(U61*(Assumptions!$C$49*(1-Assumptions!$C$48)+Assumptions!$C$51*Assumptions!$C$48)+U62*(Assumptions!$C$50*(1-Assumptions!$C$48)+Assumptions!$C$52*Assumptions!$C$48))/1000000*Assumptions!$C$54</f>
        <v>20527.493814264777</v>
      </c>
      <c r="V63" s="15">
        <f>(V61*(Assumptions!$C$49*(1-Assumptions!$C$48)+Assumptions!$C$51*Assumptions!$C$48)+V62*(Assumptions!$C$50*(1-Assumptions!$C$48)+Assumptions!$C$52*Assumptions!$C$48))/1000000*Assumptions!$C$54</f>
        <v>21783.358731802913</v>
      </c>
      <c r="W63" s="15">
        <f>(W61*(Assumptions!$C$49*(1-Assumptions!$C$48)+Assumptions!$C$51*Assumptions!$C$48)+W62*(Assumptions!$C$50*(1-Assumptions!$C$48)+Assumptions!$C$52*Assumptions!$C$48))/1000000*Assumptions!$C$54</f>
        <v>23087.329520701154</v>
      </c>
      <c r="X63" s="15">
        <f>(X61*(Assumptions!$C$49*(1-Assumptions!$C$48)+Assumptions!$C$51*Assumptions!$C$48)+X62*(Assumptions!$C$50*(1-Assumptions!$C$48)+Assumptions!$C$52*Assumptions!$C$48))/1000000*Assumptions!$C$54</f>
        <v>24442.7514664966</v>
      </c>
      <c r="Y63" s="15">
        <f>(Y61*(Assumptions!$C$49*(1-Assumptions!$C$48)+Assumptions!$C$51*Assumptions!$C$48)+Y62*(Assumptions!$C$50*(1-Assumptions!$C$48)+Assumptions!$C$52*Assumptions!$C$48))/1000000*Assumptions!$C$54</f>
        <v>25853.076959517155</v>
      </c>
      <c r="Z63" s="15">
        <f>(Z61*(Assumptions!$C$49*(1-Assumptions!$C$48)+Assumptions!$C$51*Assumptions!$C$48)+Z62*(Assumptions!$C$50*(1-Assumptions!$C$48)+Assumptions!$C$52*Assumptions!$C$48))/1000000*Assumptions!$C$54</f>
        <v>27321.874700328204</v>
      </c>
    </row>
    <row r="64" spans="1:26" ht="16.5" customHeight="1">
      <c r="A64" s="1" t="s">
        <v>292</v>
      </c>
      <c r="B64" s="1" t="s">
        <v>78</v>
      </c>
      <c r="C64" s="15">
        <f>C63*Assumptions!$C$53</f>
        <v>224.78147999999999</v>
      </c>
      <c r="D64" s="15">
        <f>D63*Assumptions!$C$53</f>
        <v>200.87530848000003</v>
      </c>
      <c r="E64" s="15">
        <f>E63*Assumptions!$C$53</f>
        <v>248.99015450232002</v>
      </c>
      <c r="F64" s="15">
        <f>F63*Assumptions!$C$53</f>
        <v>297.7413721267709</v>
      </c>
      <c r="G64" s="15">
        <f>G63*Assumptions!$C$53</f>
        <v>346.66288418946868</v>
      </c>
      <c r="H64" s="15">
        <f>H63*Assumptions!$C$53</f>
        <v>395.8569750853033</v>
      </c>
      <c r="I64" s="15">
        <f>I63*Assumptions!$C$53</f>
        <v>445.47206537734399</v>
      </c>
      <c r="J64" s="15">
        <f>J63*Assumptions!$C$53</f>
        <v>495.65931994247393</v>
      </c>
      <c r="K64" s="15">
        <f>K63*Assumptions!$C$53</f>
        <v>546.56946634311942</v>
      </c>
      <c r="L64" s="15">
        <f>L63*Assumptions!$C$53</f>
        <v>598.35298075235028</v>
      </c>
      <c r="M64" s="15">
        <f>M63*Assumptions!$C$53</f>
        <v>651.16054827183757</v>
      </c>
      <c r="N64" s="15">
        <f>N63*Assumptions!$C$53</f>
        <v>705.1435393861135</v>
      </c>
      <c r="O64" s="15">
        <f>O63*Assumptions!$C$53</f>
        <v>760.45448237939831</v>
      </c>
      <c r="P64" s="15">
        <f>P63*Assumptions!$C$53</f>
        <v>817.24753149682442</v>
      </c>
      <c r="Q64" s="15">
        <f>Q63*Assumptions!$C$53</f>
        <v>875.67893227022159</v>
      </c>
      <c r="R64" s="15">
        <f>R63*Assumptions!$C$53</f>
        <v>935.90748553358105</v>
      </c>
      <c r="S64" s="15">
        <f>S63*Assumptions!$C$53</f>
        <v>998.09501163451807</v>
      </c>
      <c r="T64" s="15">
        <f>T63*Assumptions!$C$53</f>
        <v>1062.40681632375</v>
      </c>
      <c r="U64" s="15">
        <f>U63*Assumptions!$C$53</f>
        <v>1129.0121597845628</v>
      </c>
      <c r="V64" s="15">
        <f>V63*Assumptions!$C$53</f>
        <v>1198.0847302491602</v>
      </c>
      <c r="W64" s="15">
        <f>W63*Assumptions!$C$53</f>
        <v>1269.8031236385634</v>
      </c>
      <c r="X64" s="15">
        <f>X63*Assumptions!$C$53</f>
        <v>1344.3513306573129</v>
      </c>
      <c r="Y64" s="15">
        <f>Y63*Assumptions!$C$53</f>
        <v>1421.9192327734436</v>
      </c>
      <c r="Z64" s="15">
        <f>Z63*Assumptions!$C$53</f>
        <v>1502.7031085180513</v>
      </c>
    </row>
    <row r="65" spans="1:26" ht="16.5" customHeight="1">
      <c r="A65" s="1" t="s">
        <v>293</v>
      </c>
      <c r="B65" s="1" t="s">
        <v>78</v>
      </c>
      <c r="C65" s="15">
        <f>C60*Assumptions!$C$55*Assumptions!$C$56</f>
        <v>0</v>
      </c>
      <c r="D65" s="15">
        <f>D60*Assumptions!$C$55*Assumptions!$C$56</f>
        <v>0</v>
      </c>
      <c r="E65" s="15">
        <f>E60*Assumptions!$C$55*Assumptions!$C$56</f>
        <v>0</v>
      </c>
      <c r="F65" s="15">
        <f>F60*Assumptions!$C$55*Assumptions!$C$56</f>
        <v>0</v>
      </c>
      <c r="G65" s="15">
        <f>G60*Assumptions!$C$55*Assumptions!$C$56</f>
        <v>0</v>
      </c>
      <c r="H65" s="15">
        <f>H60*Assumptions!$C$55*Assumptions!$C$56</f>
        <v>0</v>
      </c>
      <c r="I65" s="15">
        <f>I60*Assumptions!$C$55*Assumptions!$C$56</f>
        <v>0</v>
      </c>
      <c r="J65" s="15">
        <f>J60*Assumptions!$C$55*Assumptions!$C$56</f>
        <v>0</v>
      </c>
      <c r="K65" s="15">
        <f>K60*Assumptions!$C$55*Assumptions!$C$56</f>
        <v>0</v>
      </c>
      <c r="L65" s="15">
        <f>L60*Assumptions!$C$55*Assumptions!$C$56</f>
        <v>0</v>
      </c>
      <c r="M65" s="15">
        <f>M60*Assumptions!$C$55*Assumptions!$C$56</f>
        <v>0</v>
      </c>
      <c r="N65" s="15">
        <f>N60*Assumptions!$C$55*Assumptions!$C$56</f>
        <v>0</v>
      </c>
      <c r="O65" s="15">
        <f>O60*Assumptions!$C$55*Assumptions!$C$56</f>
        <v>0</v>
      </c>
      <c r="P65" s="15">
        <f>P60*Assumptions!$C$55*Assumptions!$C$56</f>
        <v>0</v>
      </c>
      <c r="Q65" s="15">
        <f>Q60*Assumptions!$C$55*Assumptions!$C$56</f>
        <v>0</v>
      </c>
      <c r="R65" s="15">
        <f>R60*Assumptions!$C$55*Assumptions!$C$56</f>
        <v>0</v>
      </c>
      <c r="S65" s="15">
        <f>S60*Assumptions!$C$55*Assumptions!$C$56</f>
        <v>0</v>
      </c>
      <c r="T65" s="15">
        <f>T60*Assumptions!$C$55*Assumptions!$C$56</f>
        <v>0</v>
      </c>
      <c r="U65" s="15">
        <f>U60*Assumptions!$C$55*Assumptions!$C$56</f>
        <v>0</v>
      </c>
      <c r="V65" s="15">
        <f>V60*Assumptions!$C$55*Assumptions!$C$56</f>
        <v>0</v>
      </c>
      <c r="W65" s="15">
        <f>W60*Assumptions!$C$55*Assumptions!$C$56</f>
        <v>0</v>
      </c>
      <c r="X65" s="15">
        <f>X60*Assumptions!$C$55*Assumptions!$C$56</f>
        <v>0</v>
      </c>
      <c r="Y65" s="15">
        <f>Y60*Assumptions!$C$55*Assumptions!$C$56</f>
        <v>0</v>
      </c>
      <c r="Z65" s="15">
        <f>Z60*Assumptions!$C$55*Assumptions!$C$56</f>
        <v>0</v>
      </c>
    </row>
    <row r="66" spans="1:26" ht="16.5" customHeight="1">
      <c r="A66" s="1" t="s">
        <v>294</v>
      </c>
      <c r="B66" s="1" t="s">
        <v>78</v>
      </c>
      <c r="C66" s="15">
        <f>(Assumptions!$C$58+Assumptions!$C$59)*Assumptions!$C$54</f>
        <v>28000</v>
      </c>
      <c r="D66" s="15">
        <f>(Assumptions!$C$58+Assumptions!$C$59)*Assumptions!$C$54</f>
        <v>28000</v>
      </c>
      <c r="E66" s="15">
        <f>(Assumptions!$C$58+Assumptions!$C$59)*Assumptions!$C$54</f>
        <v>28000</v>
      </c>
      <c r="F66" s="15">
        <f>(Assumptions!$C$58+Assumptions!$C$59)*Assumptions!$C$54</f>
        <v>28000</v>
      </c>
      <c r="G66" s="15">
        <f>(Assumptions!$C$58+Assumptions!$C$59)*Assumptions!$C$54</f>
        <v>28000</v>
      </c>
      <c r="H66" s="15">
        <f>(Assumptions!$C$58+Assumptions!$C$59)*Assumptions!$C$54</f>
        <v>28000</v>
      </c>
      <c r="I66" s="15">
        <f>(Assumptions!$C$58+Assumptions!$C$59)*Assumptions!$C$54</f>
        <v>28000</v>
      </c>
      <c r="J66" s="15">
        <f>(Assumptions!$C$58+Assumptions!$C$59)*Assumptions!$C$54</f>
        <v>28000</v>
      </c>
      <c r="K66" s="15">
        <f>(Assumptions!$C$58+Assumptions!$C$59)*Assumptions!$C$54</f>
        <v>28000</v>
      </c>
      <c r="L66" s="15">
        <f>(Assumptions!$C$58+Assumptions!$C$59)*Assumptions!$C$54</f>
        <v>28000</v>
      </c>
      <c r="M66" s="15">
        <f>(Assumptions!$C$58+Assumptions!$C$59)*Assumptions!$C$54</f>
        <v>28000</v>
      </c>
      <c r="N66" s="15">
        <f>(Assumptions!$C$58+Assumptions!$C$59)*Assumptions!$C$54</f>
        <v>28000</v>
      </c>
      <c r="O66" s="15">
        <f>(Assumptions!$C$58+Assumptions!$C$59)*Assumptions!$C$54</f>
        <v>28000</v>
      </c>
      <c r="P66" s="15">
        <f>(Assumptions!$C$58+Assumptions!$C$59)*Assumptions!$C$54</f>
        <v>28000</v>
      </c>
      <c r="Q66" s="15">
        <f>(Assumptions!$C$58+Assumptions!$C$59)*Assumptions!$C$54</f>
        <v>28000</v>
      </c>
      <c r="R66" s="15">
        <f>(Assumptions!$C$58+Assumptions!$C$59)*Assumptions!$C$54</f>
        <v>28000</v>
      </c>
      <c r="S66" s="15">
        <f>(Assumptions!$C$58+Assumptions!$C$59)*Assumptions!$C$54</f>
        <v>28000</v>
      </c>
      <c r="T66" s="15">
        <f>(Assumptions!$C$58+Assumptions!$C$59)*Assumptions!$C$54</f>
        <v>28000</v>
      </c>
      <c r="U66" s="15">
        <f>(Assumptions!$C$58+Assumptions!$C$59)*Assumptions!$C$54</f>
        <v>28000</v>
      </c>
      <c r="V66" s="15">
        <f>(Assumptions!$C$58+Assumptions!$C$59)*Assumptions!$C$54</f>
        <v>28000</v>
      </c>
      <c r="W66" s="15">
        <f>(Assumptions!$C$58+Assumptions!$C$59)*Assumptions!$C$54</f>
        <v>28000</v>
      </c>
      <c r="X66" s="15">
        <f>(Assumptions!$C$58+Assumptions!$C$59)*Assumptions!$C$54</f>
        <v>28000</v>
      </c>
      <c r="Y66" s="15">
        <f>(Assumptions!$C$58+Assumptions!$C$59)*Assumptions!$C$54</f>
        <v>28000</v>
      </c>
      <c r="Z66" s="15">
        <f>(Assumptions!$C$58+Assumptions!$C$59)*Assumptions!$C$54</f>
        <v>28000</v>
      </c>
    </row>
    <row r="67" spans="1:26" ht="16.5" customHeight="1">
      <c r="A67" s="1" t="s">
        <v>295</v>
      </c>
      <c r="B67" s="1" t="s">
        <v>78</v>
      </c>
      <c r="C67" s="15">
        <f>(Assumptions!$C$60+Assumptions!$C$62+MAX(0,C34+C40+C41+C42-100000)*Assumptions!$C$61)*Assumptions!$C$54</f>
        <v>35000</v>
      </c>
      <c r="D67" s="15">
        <f>(Assumptions!$C$60+Assumptions!$C$62+MAX(0,D34+D40+D41+D42-100000)*Assumptions!$C$61)*Assumptions!$C$54</f>
        <v>35000</v>
      </c>
      <c r="E67" s="15">
        <f>(Assumptions!$C$60+Assumptions!$C$62+MAX(0,E34+E40+E41+E42-100000)*Assumptions!$C$61)*Assumptions!$C$54</f>
        <v>35000</v>
      </c>
      <c r="F67" s="15">
        <f>(Assumptions!$C$60+Assumptions!$C$62+MAX(0,F34+F40+F41+F42-100000)*Assumptions!$C$61)*Assumptions!$C$54</f>
        <v>35000</v>
      </c>
      <c r="G67" s="15">
        <f>(Assumptions!$C$60+Assumptions!$C$62+MAX(0,G34+G40+G41+G42-100000)*Assumptions!$C$61)*Assumptions!$C$54</f>
        <v>35000</v>
      </c>
      <c r="H67" s="15">
        <f>(Assumptions!$C$60+Assumptions!$C$62+MAX(0,H34+H40+H41+H42-100000)*Assumptions!$C$61)*Assumptions!$C$54</f>
        <v>35000</v>
      </c>
      <c r="I67" s="15">
        <f>(Assumptions!$C$60+Assumptions!$C$62+MAX(0,I34+I40+I41+I42-100000)*Assumptions!$C$61)*Assumptions!$C$54</f>
        <v>35000</v>
      </c>
      <c r="J67" s="15">
        <f>(Assumptions!$C$60+Assumptions!$C$62+MAX(0,J34+J40+J41+J42-100000)*Assumptions!$C$61)*Assumptions!$C$54</f>
        <v>35000</v>
      </c>
      <c r="K67" s="15">
        <f>(Assumptions!$C$60+Assumptions!$C$62+MAX(0,K34+K40+K41+K42-100000)*Assumptions!$C$61)*Assumptions!$C$54</f>
        <v>35000</v>
      </c>
      <c r="L67" s="15">
        <f>(Assumptions!$C$60+Assumptions!$C$62+MAX(0,L34+L40+L41+L42-100000)*Assumptions!$C$61)*Assumptions!$C$54</f>
        <v>35000</v>
      </c>
      <c r="M67" s="15">
        <f>(Assumptions!$C$60+Assumptions!$C$62+MAX(0,M34+M40+M41+M42-100000)*Assumptions!$C$61)*Assumptions!$C$54</f>
        <v>35000</v>
      </c>
      <c r="N67" s="15">
        <f>(Assumptions!$C$60+Assumptions!$C$62+MAX(0,N34+N40+N41+N42-100000)*Assumptions!$C$61)*Assumptions!$C$54</f>
        <v>35000</v>
      </c>
      <c r="O67" s="15">
        <f>(Assumptions!$C$60+Assumptions!$C$62+MAX(0,O34+O40+O41+O42-100000)*Assumptions!$C$61)*Assumptions!$C$54</f>
        <v>35000</v>
      </c>
      <c r="P67" s="15">
        <f>(Assumptions!$C$60+Assumptions!$C$62+MAX(0,P34+P40+P41+P42-100000)*Assumptions!$C$61)*Assumptions!$C$54</f>
        <v>35000</v>
      </c>
      <c r="Q67" s="15">
        <f>(Assumptions!$C$60+Assumptions!$C$62+MAX(0,Q34+Q40+Q41+Q42-100000)*Assumptions!$C$61)*Assumptions!$C$54</f>
        <v>35000</v>
      </c>
      <c r="R67" s="15">
        <f>(Assumptions!$C$60+Assumptions!$C$62+MAX(0,R34+R40+R41+R42-100000)*Assumptions!$C$61)*Assumptions!$C$54</f>
        <v>35000</v>
      </c>
      <c r="S67" s="15">
        <f>(Assumptions!$C$60+Assumptions!$C$62+MAX(0,S34+S40+S41+S42-100000)*Assumptions!$C$61)*Assumptions!$C$54</f>
        <v>35000</v>
      </c>
      <c r="T67" s="15">
        <f>(Assumptions!$C$60+Assumptions!$C$62+MAX(0,T34+T40+T41+T42-100000)*Assumptions!$C$61)*Assumptions!$C$54</f>
        <v>35000</v>
      </c>
      <c r="U67" s="15">
        <f>(Assumptions!$C$60+Assumptions!$C$62+MAX(0,U34+U40+U41+U42-100000)*Assumptions!$C$61)*Assumptions!$C$54</f>
        <v>35000</v>
      </c>
      <c r="V67" s="15">
        <f>(Assumptions!$C$60+Assumptions!$C$62+MAX(0,V34+V40+V41+V42-100000)*Assumptions!$C$61)*Assumptions!$C$54</f>
        <v>35000</v>
      </c>
      <c r="W67" s="15">
        <f>(Assumptions!$C$60+Assumptions!$C$62+MAX(0,W34+W40+W41+W42-100000)*Assumptions!$C$61)*Assumptions!$C$54</f>
        <v>35000</v>
      </c>
      <c r="X67" s="15">
        <f>(Assumptions!$C$60+Assumptions!$C$62+MAX(0,X34+X40+X41+X42-100000)*Assumptions!$C$61)*Assumptions!$C$54</f>
        <v>35000</v>
      </c>
      <c r="Y67" s="15">
        <f>(Assumptions!$C$60+Assumptions!$C$62+MAX(0,Y34+Y40+Y41+Y42-100000)*Assumptions!$C$61)*Assumptions!$C$54</f>
        <v>35000</v>
      </c>
      <c r="Z67" s="15">
        <f>(Assumptions!$C$60+Assumptions!$C$62+MAX(0,Z34+Z40+Z41+Z42-100000)*Assumptions!$C$61)*Assumptions!$C$54</f>
        <v>35000</v>
      </c>
    </row>
    <row r="68" spans="1:26" ht="16.5" customHeight="1">
      <c r="A68" s="1" t="s">
        <v>296</v>
      </c>
      <c r="B68" s="1" t="s">
        <v>78</v>
      </c>
      <c r="C68" s="15">
        <f>C50*Assumptions!$C$63</f>
        <v>0</v>
      </c>
      <c r="D68" s="15">
        <f>D50*Assumptions!$C$63</f>
        <v>4736.88</v>
      </c>
      <c r="E68" s="15">
        <f>E50*Assumptions!$C$63</f>
        <v>6608.5219467000006</v>
      </c>
      <c r="F68" s="15">
        <f>F50*Assumptions!$C$63</f>
        <v>8410.1039460828015</v>
      </c>
      <c r="G68" s="15">
        <f>G50*Assumptions!$C$63</f>
        <v>10160.737700967116</v>
      </c>
      <c r="H68" s="15">
        <f>H50*Assumptions!$C$63</f>
        <v>11909.837553104644</v>
      </c>
      <c r="I68" s="15">
        <f>I50*Assumptions!$C$63</f>
        <v>13666.633629479649</v>
      </c>
      <c r="J68" s="15">
        <f>J50*Assumptions!$C$63</f>
        <v>15436.918258923382</v>
      </c>
      <c r="K68" s="15">
        <f>K50*Assumptions!$C$63</f>
        <v>17226.149797478549</v>
      </c>
      <c r="L68" s="15">
        <f>L50*Assumptions!$C$63</f>
        <v>19039.730036892481</v>
      </c>
      <c r="M68" s="15">
        <f>M50*Assumptions!$C$63</f>
        <v>20883.043815840036</v>
      </c>
      <c r="N68" s="15">
        <f>N50*Assumptions!$C$63</f>
        <v>22761.478336617183</v>
      </c>
      <c r="O68" s="15">
        <f>O50*Assumptions!$C$63</f>
        <v>24680.440514197959</v>
      </c>
      <c r="P68" s="15">
        <f>P50*Assumptions!$C$63</f>
        <v>26645.373951960017</v>
      </c>
      <c r="Q68" s="15">
        <f>Q50*Assumptions!$C$63</f>
        <v>28661.775731238016</v>
      </c>
      <c r="R68" s="15">
        <f>R50*Assumptions!$C$63</f>
        <v>30735.213082252325</v>
      </c>
      <c r="S68" s="15">
        <f>S50*Assumptions!$C$63</f>
        <v>32871.339992692396</v>
      </c>
      <c r="T68" s="15">
        <f>T50*Assumptions!$C$63</f>
        <v>35075.913808249512</v>
      </c>
      <c r="U68" s="15">
        <f>U50*Assumptions!$C$63</f>
        <v>37354.811878365443</v>
      </c>
      <c r="V68" s="15">
        <f>V50*Assumptions!$C$63</f>
        <v>39714.048299686146</v>
      </c>
      <c r="W68" s="15">
        <f>W50*Assumptions!$C$63</f>
        <v>42159.790809119128</v>
      </c>
      <c r="X68" s="15">
        <f>X50*Assumptions!$C$63</f>
        <v>44698.377877979059</v>
      </c>
      <c r="Y68" s="15">
        <f>Y50*Assumptions!$C$63</f>
        <v>47336.33605846412</v>
      </c>
      <c r="Z68" s="15">
        <f>Z50*Assumptions!$C$63</f>
        <v>50080.397633631917</v>
      </c>
    </row>
    <row r="69" spans="1:26" ht="16.5" customHeight="1">
      <c r="A69" s="1" t="s">
        <v>297</v>
      </c>
      <c r="B69" s="1" t="s">
        <v>78</v>
      </c>
      <c r="C69" s="15">
        <f>Assumptions!$C$64+Assumptions!$C$65</f>
        <v>330000</v>
      </c>
      <c r="D69" s="15">
        <f t="shared" ref="D69:N69" si="16">0+0</f>
        <v>0</v>
      </c>
      <c r="E69" s="15">
        <f t="shared" si="16"/>
        <v>0</v>
      </c>
      <c r="F69" s="15">
        <f t="shared" si="16"/>
        <v>0</v>
      </c>
      <c r="G69" s="15">
        <f t="shared" si="16"/>
        <v>0</v>
      </c>
      <c r="H69" s="15">
        <f t="shared" si="16"/>
        <v>0</v>
      </c>
      <c r="I69" s="15">
        <f t="shared" si="16"/>
        <v>0</v>
      </c>
      <c r="J69" s="15">
        <f t="shared" si="16"/>
        <v>0</v>
      </c>
      <c r="K69" s="15">
        <f t="shared" si="16"/>
        <v>0</v>
      </c>
      <c r="L69" s="15">
        <f t="shared" si="16"/>
        <v>0</v>
      </c>
      <c r="M69" s="15">
        <f t="shared" si="16"/>
        <v>0</v>
      </c>
      <c r="N69" s="15">
        <f t="shared" si="16"/>
        <v>0</v>
      </c>
      <c r="O69" s="15">
        <f>0+Assumptions!$C$65</f>
        <v>110000</v>
      </c>
      <c r="P69" s="15">
        <f t="shared" ref="P69:Z69" si="17">0+0</f>
        <v>0</v>
      </c>
      <c r="Q69" s="15">
        <f t="shared" si="17"/>
        <v>0</v>
      </c>
      <c r="R69" s="15">
        <f t="shared" si="17"/>
        <v>0</v>
      </c>
      <c r="S69" s="15">
        <f t="shared" si="17"/>
        <v>0</v>
      </c>
      <c r="T69" s="15">
        <f t="shared" si="17"/>
        <v>0</v>
      </c>
      <c r="U69" s="15">
        <f t="shared" si="17"/>
        <v>0</v>
      </c>
      <c r="V69" s="15">
        <f t="shared" si="17"/>
        <v>0</v>
      </c>
      <c r="W69" s="15">
        <f t="shared" si="17"/>
        <v>0</v>
      </c>
      <c r="X69" s="15">
        <f t="shared" si="17"/>
        <v>0</v>
      </c>
      <c r="Y69" s="15">
        <f t="shared" si="17"/>
        <v>0</v>
      </c>
      <c r="Z69" s="15">
        <f t="shared" si="17"/>
        <v>0</v>
      </c>
    </row>
    <row r="70" spans="1:26" ht="16.5" customHeight="1">
      <c r="A70" s="1" t="s">
        <v>298</v>
      </c>
      <c r="B70" s="1" t="s">
        <v>78</v>
      </c>
      <c r="C70" s="15">
        <f>SUM(C34,C40,C41,C42)*Assumptions!$C$66</f>
        <v>3500</v>
      </c>
      <c r="D70" s="15">
        <f>SUM(D34,D40,D41,D42)*Assumptions!$C$66</f>
        <v>5351.0000000000009</v>
      </c>
      <c r="E70" s="15">
        <f>SUM(E34,E40,E41,E42)*Assumptions!$C$66</f>
        <v>6549.4880000000021</v>
      </c>
      <c r="F70" s="15">
        <f>SUM(F34,F40,F41,F42)*Assumptions!$C$66</f>
        <v>7557.9028400000016</v>
      </c>
      <c r="G70" s="15">
        <f>SUM(G34,G40,G41,G42)*Assumptions!$C$66</f>
        <v>8464.918525088</v>
      </c>
      <c r="H70" s="15">
        <f>SUM(H34,H40,H41,H42)*Assumptions!$C$66</f>
        <v>9309.7578986576027</v>
      </c>
      <c r="I70" s="15">
        <f>SUM(I34,I40,I41,I42)*Assumptions!$C$66</f>
        <v>10118.469664436234</v>
      </c>
      <c r="J70" s="15">
        <f>SUM(J34,J40,J41,J42)*Assumptions!$C$66</f>
        <v>10909.694222433807</v>
      </c>
      <c r="K70" s="15">
        <f>SUM(K34,K40,K41,K42)*Assumptions!$C$66</f>
        <v>11697.052459005752</v>
      </c>
      <c r="L70" s="15">
        <f>SUM(L34,L40,L41,L42)*Assumptions!$C$66</f>
        <v>12490.681010172384</v>
      </c>
      <c r="M70" s="15">
        <f>SUM(M34,M40,M41,M42)*Assumptions!$C$66</f>
        <v>13298.296954168851</v>
      </c>
      <c r="N70" s="15">
        <f>SUM(N34,N40,N41,N42)*Assumptions!$C$66</f>
        <v>14125.943792195338</v>
      </c>
      <c r="O70" s="15">
        <f>SUM(O34,O40,O41,O42)*Assumptions!$C$66</f>
        <v>14978.515261414288</v>
      </c>
      <c r="P70" s="15">
        <f>SUM(P34,P40,P41,P42)*Assumptions!$C$66</f>
        <v>15860.123745874464</v>
      </c>
      <c r="Q70" s="15">
        <f>SUM(Q34,Q40,Q41,Q42)*Assumptions!$C$66</f>
        <v>16774.359957361838</v>
      </c>
      <c r="R70" s="15">
        <f>SUM(R34,R40,R41,R42)*Assumptions!$C$66</f>
        <v>17724.476555756417</v>
      </c>
      <c r="S70" s="15">
        <f>SUM(S34,S40,S41,S42)*Assumptions!$C$66</f>
        <v>18713.518582153883</v>
      </c>
      <c r="T70" s="15">
        <f>SUM(T34,T40,T41,T42)*Assumptions!$C$66</f>
        <v>19744.416721122005</v>
      </c>
      <c r="U70" s="15">
        <f>SUM(U34,U40,U41,U42)*Assumptions!$C$66</f>
        <v>20820.054608780727</v>
      </c>
      <c r="V70" s="15">
        <f>SUM(V34,V40,V41,V42)*Assumptions!$C$66</f>
        <v>21943.318043741103</v>
      </c>
      <c r="W70" s="15">
        <f>SUM(W34,W40,W41,W42)*Assumptions!$C$66</f>
        <v>23117.13160631503</v>
      </c>
      <c r="X70" s="15">
        <f>SUM(X34,X40,X41,X42)*Assumptions!$C$66</f>
        <v>24344.486545421325</v>
      </c>
      <c r="Y70" s="15">
        <f>SUM(Y34,Y40,Y41,Y42)*Assumptions!$C$66</f>
        <v>25628.462640588237</v>
      </c>
      <c r="Z70" s="15">
        <f>SUM(Z34,Z40,Z41,Z42)*Assumptions!$C$66</f>
        <v>26972.245940215682</v>
      </c>
    </row>
    <row r="71" spans="1:26" ht="16.5" customHeight="1">
      <c r="A71" s="1" t="s">
        <v>299</v>
      </c>
      <c r="B71" s="1" t="s">
        <v>78</v>
      </c>
      <c r="C71" s="15">
        <f>Assumptions!$C$67</f>
        <v>0</v>
      </c>
      <c r="D71" s="15">
        <f>Assumptions!$C$67</f>
        <v>0</v>
      </c>
      <c r="E71" s="15">
        <f>Assumptions!$C$67</f>
        <v>0</v>
      </c>
      <c r="F71" s="15">
        <f>Assumptions!$C$67</f>
        <v>0</v>
      </c>
      <c r="G71" s="15">
        <f>Assumptions!$C$67</f>
        <v>0</v>
      </c>
      <c r="H71" s="15">
        <f>Assumptions!$C$67</f>
        <v>0</v>
      </c>
      <c r="I71" s="15">
        <f>Assumptions!$C$67</f>
        <v>0</v>
      </c>
      <c r="J71" s="15">
        <f>Assumptions!$C$67</f>
        <v>0</v>
      </c>
      <c r="K71" s="15">
        <f>Assumptions!$C$67</f>
        <v>0</v>
      </c>
      <c r="L71" s="15">
        <f>Assumptions!$C$67</f>
        <v>0</v>
      </c>
      <c r="M71" s="15">
        <f>Assumptions!$C$67</f>
        <v>0</v>
      </c>
      <c r="N71" s="15">
        <f>Assumptions!$C$67</f>
        <v>0</v>
      </c>
      <c r="O71" s="15">
        <f>Assumptions!$C$67</f>
        <v>0</v>
      </c>
      <c r="P71" s="15">
        <f>Assumptions!$C$67</f>
        <v>0</v>
      </c>
      <c r="Q71" s="15">
        <f>Assumptions!$C$67</f>
        <v>0</v>
      </c>
      <c r="R71" s="15">
        <f>Assumptions!$C$67</f>
        <v>0</v>
      </c>
      <c r="S71" s="15">
        <f>Assumptions!$C$67</f>
        <v>0</v>
      </c>
      <c r="T71" s="15">
        <f>Assumptions!$C$67</f>
        <v>0</v>
      </c>
      <c r="U71" s="15">
        <f>Assumptions!$C$67</f>
        <v>0</v>
      </c>
      <c r="V71" s="15">
        <f>Assumptions!$C$67</f>
        <v>0</v>
      </c>
      <c r="W71" s="15">
        <f>Assumptions!$C$67</f>
        <v>0</v>
      </c>
      <c r="X71" s="15">
        <f>Assumptions!$C$67</f>
        <v>0</v>
      </c>
      <c r="Y71" s="15">
        <f>Assumptions!$C$67</f>
        <v>0</v>
      </c>
      <c r="Z71" s="15">
        <f>Assumptions!$C$67</f>
        <v>0</v>
      </c>
    </row>
    <row r="72" spans="1:26" ht="16.5" customHeight="1">
      <c r="A72" s="1" t="s">
        <v>300</v>
      </c>
      <c r="B72" s="1" t="s">
        <v>78</v>
      </c>
      <c r="C72" s="15">
        <f>Assumptions!$C$68</f>
        <v>0</v>
      </c>
      <c r="D72" s="15">
        <f>Assumptions!$C$68</f>
        <v>0</v>
      </c>
      <c r="E72" s="15">
        <f>Assumptions!$C$68</f>
        <v>0</v>
      </c>
      <c r="F72" s="15">
        <f>Assumptions!$C$68</f>
        <v>0</v>
      </c>
      <c r="G72" s="15">
        <f>Assumptions!$C$68</f>
        <v>0</v>
      </c>
      <c r="H72" s="15">
        <f>Assumptions!$C$68</f>
        <v>0</v>
      </c>
      <c r="I72" s="15">
        <f>Assumptions!$C$68</f>
        <v>0</v>
      </c>
      <c r="J72" s="15">
        <f>Assumptions!$C$68</f>
        <v>0</v>
      </c>
      <c r="K72" s="15">
        <f>Assumptions!$C$68</f>
        <v>0</v>
      </c>
      <c r="L72" s="15">
        <f>Assumptions!$C$68</f>
        <v>0</v>
      </c>
      <c r="M72" s="15">
        <f>Assumptions!$C$68</f>
        <v>0</v>
      </c>
      <c r="N72" s="15">
        <f>Assumptions!$C$68</f>
        <v>0</v>
      </c>
      <c r="O72" s="15">
        <f>Assumptions!$C$68</f>
        <v>0</v>
      </c>
      <c r="P72" s="15">
        <f>Assumptions!$C$68</f>
        <v>0</v>
      </c>
      <c r="Q72" s="15">
        <f>Assumptions!$C$68</f>
        <v>0</v>
      </c>
      <c r="R72" s="15">
        <f>Assumptions!$C$68</f>
        <v>0</v>
      </c>
      <c r="S72" s="15">
        <f>Assumptions!$C$68</f>
        <v>0</v>
      </c>
      <c r="T72" s="15">
        <f>Assumptions!$C$68</f>
        <v>0</v>
      </c>
      <c r="U72" s="15">
        <f>Assumptions!$C$68</f>
        <v>0</v>
      </c>
      <c r="V72" s="15">
        <f>Assumptions!$C$68</f>
        <v>0</v>
      </c>
      <c r="W72" s="15">
        <f>Assumptions!$C$68</f>
        <v>0</v>
      </c>
      <c r="X72" s="15">
        <f>Assumptions!$C$68</f>
        <v>0</v>
      </c>
      <c r="Y72" s="15">
        <f>Assumptions!$C$68</f>
        <v>0</v>
      </c>
      <c r="Z72" s="15">
        <f>Assumptions!$C$68</f>
        <v>0</v>
      </c>
    </row>
    <row r="73" spans="1:26" ht="16.5" customHeight="1">
      <c r="A73" s="1" t="s">
        <v>301</v>
      </c>
      <c r="B73" s="1" t="s">
        <v>78</v>
      </c>
      <c r="C73" s="15">
        <f>Assumptions!$C$69</f>
        <v>200000</v>
      </c>
      <c r="D73" s="15">
        <f>Assumptions!$C$69</f>
        <v>200000</v>
      </c>
      <c r="E73" s="15">
        <f>Assumptions!$C$69</f>
        <v>200000</v>
      </c>
      <c r="F73" s="15">
        <f>Assumptions!$C$69</f>
        <v>200000</v>
      </c>
      <c r="G73" s="15">
        <f>Assumptions!$C$69</f>
        <v>200000</v>
      </c>
      <c r="H73" s="15">
        <f>Assumptions!$C$69</f>
        <v>200000</v>
      </c>
      <c r="I73" s="15">
        <f>Assumptions!$C$69</f>
        <v>200000</v>
      </c>
      <c r="J73" s="15">
        <f>Assumptions!$C$69</f>
        <v>200000</v>
      </c>
      <c r="K73" s="15">
        <f>Assumptions!$C$69</f>
        <v>200000</v>
      </c>
      <c r="L73" s="15">
        <f>Assumptions!$C$69</f>
        <v>200000</v>
      </c>
      <c r="M73" s="15">
        <f>Assumptions!$C$69</f>
        <v>200000</v>
      </c>
      <c r="N73" s="15">
        <f>Assumptions!$C$69</f>
        <v>200000</v>
      </c>
      <c r="O73" s="15">
        <f>Assumptions!$C$69</f>
        <v>200000</v>
      </c>
      <c r="P73" s="15">
        <f>Assumptions!$C$69</f>
        <v>200000</v>
      </c>
      <c r="Q73" s="15">
        <f>Assumptions!$C$69</f>
        <v>200000</v>
      </c>
      <c r="R73" s="15">
        <f>Assumptions!$C$69</f>
        <v>200000</v>
      </c>
      <c r="S73" s="15">
        <f>Assumptions!$C$69</f>
        <v>200000</v>
      </c>
      <c r="T73" s="15">
        <f>Assumptions!$C$69</f>
        <v>200000</v>
      </c>
      <c r="U73" s="15">
        <f>Assumptions!$C$69</f>
        <v>200000</v>
      </c>
      <c r="V73" s="15">
        <f>Assumptions!$C$69</f>
        <v>200000</v>
      </c>
      <c r="W73" s="15">
        <f>Assumptions!$C$69</f>
        <v>200000</v>
      </c>
      <c r="X73" s="15">
        <f>Assumptions!$C$69</f>
        <v>200000</v>
      </c>
      <c r="Y73" s="15">
        <f>Assumptions!$C$69</f>
        <v>200000</v>
      </c>
      <c r="Z73" s="15">
        <f>Assumptions!$C$69</f>
        <v>200000</v>
      </c>
    </row>
    <row r="74" spans="1:26" ht="16.5" customHeight="1">
      <c r="A74" s="5" t="s">
        <v>302</v>
      </c>
      <c r="B74" s="5" t="s">
        <v>78</v>
      </c>
      <c r="C74" s="17">
        <f t="shared" ref="C74:Z74" si="18">SUM(C63:C73)</f>
        <v>600811.71747999999</v>
      </c>
      <c r="D74" s="17">
        <f t="shared" si="18"/>
        <v>276941.03364447999</v>
      </c>
      <c r="E74" s="17">
        <f t="shared" si="18"/>
        <v>280934.09381942631</v>
      </c>
      <c r="F74" s="17">
        <f t="shared" si="18"/>
        <v>284679.2276514236</v>
      </c>
      <c r="G74" s="17">
        <f t="shared" si="18"/>
        <v>288275.28064096218</v>
      </c>
      <c r="H74" s="17">
        <f t="shared" si="18"/>
        <v>291812.85197385307</v>
      </c>
      <c r="I74" s="17">
        <f t="shared" si="18"/>
        <v>295330.06745706312</v>
      </c>
      <c r="J74" s="17">
        <f t="shared" si="18"/>
        <v>298854.25943661737</v>
      </c>
      <c r="K74" s="17">
        <f t="shared" si="18"/>
        <v>302407.39838361141</v>
      </c>
      <c r="L74" s="17">
        <f t="shared" si="18"/>
        <v>306007.90913240542</v>
      </c>
      <c r="M74" s="17">
        <f t="shared" si="18"/>
        <v>309671.78401413234</v>
      </c>
      <c r="N74" s="17">
        <f t="shared" si="18"/>
        <v>313413.35729340068</v>
      </c>
      <c r="O74" s="17">
        <f t="shared" si="18"/>
        <v>427245.85539216251</v>
      </c>
      <c r="P74" s="17">
        <f t="shared" si="18"/>
        <v>321181.79125654628</v>
      </c>
      <c r="Q74" s="17">
        <f t="shared" si="18"/>
        <v>325233.24975305592</v>
      </c>
      <c r="R74" s="17">
        <f t="shared" si="18"/>
        <v>329412.09686051653</v>
      </c>
      <c r="S74" s="17">
        <f t="shared" si="18"/>
        <v>333730.13561619935</v>
      </c>
      <c r="T74" s="17">
        <f t="shared" si="18"/>
        <v>338199.22491521802</v>
      </c>
      <c r="U74" s="17">
        <f t="shared" si="18"/>
        <v>342831.37246119545</v>
      </c>
      <c r="V74" s="17">
        <f t="shared" si="18"/>
        <v>347638.80980547937</v>
      </c>
      <c r="W74" s="17">
        <f t="shared" si="18"/>
        <v>352634.05505977385</v>
      </c>
      <c r="X74" s="17">
        <f t="shared" si="18"/>
        <v>357829.9672205543</v>
      </c>
      <c r="Y74" s="17">
        <f t="shared" si="18"/>
        <v>363239.79489134293</v>
      </c>
      <c r="Z74" s="17">
        <f t="shared" si="18"/>
        <v>368877.22138269385</v>
      </c>
    </row>
    <row r="75" spans="1:26" ht="16.5" customHeight="1">
      <c r="A75" s="5" t="s">
        <v>303</v>
      </c>
      <c r="B75" s="5" t="s">
        <v>78</v>
      </c>
      <c r="C75" s="17">
        <f t="shared" ref="C75:Z75" si="19">C52-C74</f>
        <v>-600811.71747999999</v>
      </c>
      <c r="D75" s="17">
        <f t="shared" si="19"/>
        <v>-150286.48818993452</v>
      </c>
      <c r="E75" s="17">
        <f t="shared" si="19"/>
        <v>-104235.64604669902</v>
      </c>
      <c r="F75" s="17">
        <f t="shared" si="19"/>
        <v>-59810.138183969044</v>
      </c>
      <c r="G75" s="17">
        <f t="shared" si="19"/>
        <v>-16597.802005477832</v>
      </c>
      <c r="H75" s="17">
        <f t="shared" si="19"/>
        <v>26632.002387233661</v>
      </c>
      <c r="I75" s="17">
        <f t="shared" si="19"/>
        <v>70087.944026349927</v>
      </c>
      <c r="J75" s="17">
        <f t="shared" si="19"/>
        <v>113897.56566828582</v>
      </c>
      <c r="K75" s="17">
        <f t="shared" si="19"/>
        <v>158184.84219068132</v>
      </c>
      <c r="L75" s="17">
        <f t="shared" si="19"/>
        <v>203075.78169359674</v>
      </c>
      <c r="M75" s="17">
        <f t="shared" si="19"/>
        <v>248698.37148961192</v>
      </c>
      <c r="N75" s="17">
        <f t="shared" si="19"/>
        <v>295182.32015625667</v>
      </c>
      <c r="O75" s="17">
        <f t="shared" si="19"/>
        <v>232658.97119067056</v>
      </c>
      <c r="P75" s="17">
        <f t="shared" si="19"/>
        <v>391261.36253917601</v>
      </c>
      <c r="Q75" s="17">
        <f t="shared" si="19"/>
        <v>441124.39011961833</v>
      </c>
      <c r="R75" s="17">
        <f t="shared" si="19"/>
        <v>492385.04437617661</v>
      </c>
      <c r="S75" s="17">
        <f t="shared" si="19"/>
        <v>545182.69841300906</v>
      </c>
      <c r="T75" s="17">
        <f t="shared" si="19"/>
        <v>599659.43305936782</v>
      </c>
      <c r="U75" s="17">
        <f t="shared" si="19"/>
        <v>655960.38899242599</v>
      </c>
      <c r="V75" s="17">
        <f t="shared" si="19"/>
        <v>714234.13938398962</v>
      </c>
      <c r="W75" s="17">
        <f t="shared" si="19"/>
        <v>774633.07887389255</v>
      </c>
      <c r="X75" s="17">
        <f t="shared" si="19"/>
        <v>837313.82630829746</v>
      </c>
      <c r="Y75" s="17">
        <f t="shared" si="19"/>
        <v>902437.63982694875</v>
      </c>
      <c r="Z75" s="17">
        <f t="shared" si="19"/>
        <v>970170.84368767822</v>
      </c>
    </row>
    <row r="76" spans="1:26" ht="16.5" customHeight="1">
      <c r="A76" s="1" t="s">
        <v>304</v>
      </c>
      <c r="B76" s="1" t="s">
        <v>78</v>
      </c>
      <c r="C76" s="15">
        <f>0</f>
        <v>0</v>
      </c>
      <c r="D76" s="15">
        <f t="shared" ref="D76:Z76" si="20">C79</f>
        <v>600811.71747999999</v>
      </c>
      <c r="E76" s="15">
        <f t="shared" si="20"/>
        <v>751098.20566993451</v>
      </c>
      <c r="F76" s="15">
        <f t="shared" si="20"/>
        <v>855333.85171663354</v>
      </c>
      <c r="G76" s="15">
        <f t="shared" si="20"/>
        <v>915143.98990060261</v>
      </c>
      <c r="H76" s="15">
        <f t="shared" si="20"/>
        <v>931741.79190608044</v>
      </c>
      <c r="I76" s="15">
        <f t="shared" si="20"/>
        <v>905109.78951884678</v>
      </c>
      <c r="J76" s="15">
        <f t="shared" si="20"/>
        <v>835021.84549249685</v>
      </c>
      <c r="K76" s="15">
        <f t="shared" si="20"/>
        <v>721124.27982421103</v>
      </c>
      <c r="L76" s="15">
        <f t="shared" si="20"/>
        <v>562939.43763352977</v>
      </c>
      <c r="M76" s="15">
        <f t="shared" si="20"/>
        <v>359863.65593993303</v>
      </c>
      <c r="N76" s="15">
        <f t="shared" si="20"/>
        <v>111165.28445032111</v>
      </c>
      <c r="O76" s="15">
        <f t="shared" si="20"/>
        <v>0</v>
      </c>
      <c r="P76" s="15">
        <f t="shared" si="20"/>
        <v>0</v>
      </c>
      <c r="Q76" s="15">
        <f t="shared" si="20"/>
        <v>0</v>
      </c>
      <c r="R76" s="15">
        <f t="shared" si="20"/>
        <v>0</v>
      </c>
      <c r="S76" s="15">
        <f t="shared" si="20"/>
        <v>0</v>
      </c>
      <c r="T76" s="15">
        <f t="shared" si="20"/>
        <v>0</v>
      </c>
      <c r="U76" s="15">
        <f t="shared" si="20"/>
        <v>0</v>
      </c>
      <c r="V76" s="15">
        <f t="shared" si="20"/>
        <v>0</v>
      </c>
      <c r="W76" s="15">
        <f t="shared" si="20"/>
        <v>0</v>
      </c>
      <c r="X76" s="15">
        <f t="shared" si="20"/>
        <v>0</v>
      </c>
      <c r="Y76" s="15">
        <f t="shared" si="20"/>
        <v>0</v>
      </c>
      <c r="Z76" s="15">
        <f t="shared" si="20"/>
        <v>0</v>
      </c>
    </row>
    <row r="77" spans="1:26" ht="16.5" customHeight="1">
      <c r="A77" s="1" t="s">
        <v>305</v>
      </c>
      <c r="B77" s="1" t="s">
        <v>78</v>
      </c>
      <c r="C77" s="15">
        <f t="shared" ref="C77:Z77" si="21">MAX(0,C75-C76)</f>
        <v>0</v>
      </c>
      <c r="D77" s="15">
        <f t="shared" si="21"/>
        <v>0</v>
      </c>
      <c r="E77" s="15">
        <f t="shared" si="21"/>
        <v>0</v>
      </c>
      <c r="F77" s="15">
        <f t="shared" si="21"/>
        <v>0</v>
      </c>
      <c r="G77" s="15">
        <f t="shared" si="21"/>
        <v>0</v>
      </c>
      <c r="H77" s="15">
        <f t="shared" si="21"/>
        <v>0</v>
      </c>
      <c r="I77" s="15">
        <f t="shared" si="21"/>
        <v>0</v>
      </c>
      <c r="J77" s="15">
        <f t="shared" si="21"/>
        <v>0</v>
      </c>
      <c r="K77" s="15">
        <f t="shared" si="21"/>
        <v>0</v>
      </c>
      <c r="L77" s="15">
        <f t="shared" si="21"/>
        <v>0</v>
      </c>
      <c r="M77" s="15">
        <f t="shared" si="21"/>
        <v>0</v>
      </c>
      <c r="N77" s="15">
        <f t="shared" si="21"/>
        <v>184017.03570593556</v>
      </c>
      <c r="O77" s="15">
        <f t="shared" si="21"/>
        <v>232658.97119067056</v>
      </c>
      <c r="P77" s="15">
        <f t="shared" si="21"/>
        <v>391261.36253917601</v>
      </c>
      <c r="Q77" s="15">
        <f t="shared" si="21"/>
        <v>441124.39011961833</v>
      </c>
      <c r="R77" s="15">
        <f t="shared" si="21"/>
        <v>492385.04437617661</v>
      </c>
      <c r="S77" s="15">
        <f t="shared" si="21"/>
        <v>545182.69841300906</v>
      </c>
      <c r="T77" s="15">
        <f t="shared" si="21"/>
        <v>599659.43305936782</v>
      </c>
      <c r="U77" s="15">
        <f t="shared" si="21"/>
        <v>655960.38899242599</v>
      </c>
      <c r="V77" s="15">
        <f t="shared" si="21"/>
        <v>714234.13938398962</v>
      </c>
      <c r="W77" s="15">
        <f t="shared" si="21"/>
        <v>774633.07887389255</v>
      </c>
      <c r="X77" s="15">
        <f t="shared" si="21"/>
        <v>837313.82630829746</v>
      </c>
      <c r="Y77" s="15">
        <f t="shared" si="21"/>
        <v>902437.63982694875</v>
      </c>
      <c r="Z77" s="15">
        <f t="shared" si="21"/>
        <v>970170.84368767822</v>
      </c>
    </row>
    <row r="78" spans="1:26" ht="16.5" customHeight="1">
      <c r="A78" s="1" t="s">
        <v>306</v>
      </c>
      <c r="B78" s="1" t="s">
        <v>78</v>
      </c>
      <c r="C78" s="15">
        <f>C77*Assumptions!$C$71</f>
        <v>0</v>
      </c>
      <c r="D78" s="15">
        <f>D77*Assumptions!$C$71</f>
        <v>0</v>
      </c>
      <c r="E78" s="15">
        <f>E77*Assumptions!$C$71</f>
        <v>0</v>
      </c>
      <c r="F78" s="15">
        <f>F77*Assumptions!$C$71</f>
        <v>0</v>
      </c>
      <c r="G78" s="15">
        <f>G77*Assumptions!$C$71</f>
        <v>0</v>
      </c>
      <c r="H78" s="15">
        <f>H77*Assumptions!$C$71</f>
        <v>0</v>
      </c>
      <c r="I78" s="15">
        <f>I77*Assumptions!$C$71</f>
        <v>0</v>
      </c>
      <c r="J78" s="15">
        <f>J77*Assumptions!$C$71</f>
        <v>0</v>
      </c>
      <c r="K78" s="15">
        <f>K77*Assumptions!$C$71</f>
        <v>0</v>
      </c>
      <c r="L78" s="15">
        <f>L77*Assumptions!$C$71</f>
        <v>0</v>
      </c>
      <c r="M78" s="15">
        <f>M77*Assumptions!$C$71</f>
        <v>0</v>
      </c>
      <c r="N78" s="15">
        <f>N77*Assumptions!$C$71</f>
        <v>18401.703570593556</v>
      </c>
      <c r="O78" s="15">
        <f>O77*Assumptions!$C$71</f>
        <v>23265.897119067056</v>
      </c>
      <c r="P78" s="15">
        <f>P77*Assumptions!$C$71</f>
        <v>39126.136253917604</v>
      </c>
      <c r="Q78" s="15">
        <f>Q77*Assumptions!$C$71</f>
        <v>44112.439011961833</v>
      </c>
      <c r="R78" s="15">
        <f>R77*Assumptions!$C$71</f>
        <v>49238.504437617667</v>
      </c>
      <c r="S78" s="15">
        <f>S77*Assumptions!$C$71</f>
        <v>54518.269841300906</v>
      </c>
      <c r="T78" s="15">
        <f>T77*Assumptions!$C$71</f>
        <v>59965.943305936788</v>
      </c>
      <c r="U78" s="15">
        <f>U77*Assumptions!$C$71</f>
        <v>65596.038899242601</v>
      </c>
      <c r="V78" s="15">
        <f>V77*Assumptions!$C$71</f>
        <v>71423.413938398968</v>
      </c>
      <c r="W78" s="15">
        <f>W77*Assumptions!$C$71</f>
        <v>77463.307887389252</v>
      </c>
      <c r="X78" s="15">
        <f>X77*Assumptions!$C$71</f>
        <v>83731.382630829758</v>
      </c>
      <c r="Y78" s="15">
        <f>Y77*Assumptions!$C$71</f>
        <v>90243.763982694887</v>
      </c>
      <c r="Z78" s="15">
        <f>Z77*Assumptions!$C$71</f>
        <v>97017.084368767828</v>
      </c>
    </row>
    <row r="79" spans="1:26" ht="16.5" customHeight="1">
      <c r="A79" s="1" t="s">
        <v>307</v>
      </c>
      <c r="B79" s="1" t="s">
        <v>78</v>
      </c>
      <c r="C79" s="15">
        <f t="shared" ref="C79:Z79" si="22">MAX(0,C76-MAX(0,C75))+MAX(0,-C75)</f>
        <v>600811.71747999999</v>
      </c>
      <c r="D79" s="15">
        <f t="shared" si="22"/>
        <v>751098.20566993451</v>
      </c>
      <c r="E79" s="15">
        <f t="shared" si="22"/>
        <v>855333.85171663354</v>
      </c>
      <c r="F79" s="15">
        <f t="shared" si="22"/>
        <v>915143.98990060261</v>
      </c>
      <c r="G79" s="15">
        <f t="shared" si="22"/>
        <v>931741.79190608044</v>
      </c>
      <c r="H79" s="15">
        <f t="shared" si="22"/>
        <v>905109.78951884678</v>
      </c>
      <c r="I79" s="15">
        <f t="shared" si="22"/>
        <v>835021.84549249685</v>
      </c>
      <c r="J79" s="15">
        <f t="shared" si="22"/>
        <v>721124.27982421103</v>
      </c>
      <c r="K79" s="15">
        <f t="shared" si="22"/>
        <v>562939.43763352977</v>
      </c>
      <c r="L79" s="15">
        <f t="shared" si="22"/>
        <v>359863.65593993303</v>
      </c>
      <c r="M79" s="15">
        <f t="shared" si="22"/>
        <v>111165.28445032111</v>
      </c>
      <c r="N79" s="15">
        <f t="shared" si="22"/>
        <v>0</v>
      </c>
      <c r="O79" s="15">
        <f t="shared" si="22"/>
        <v>0</v>
      </c>
      <c r="P79" s="15">
        <f t="shared" si="22"/>
        <v>0</v>
      </c>
      <c r="Q79" s="15">
        <f t="shared" si="22"/>
        <v>0</v>
      </c>
      <c r="R79" s="15">
        <f t="shared" si="22"/>
        <v>0</v>
      </c>
      <c r="S79" s="15">
        <f t="shared" si="22"/>
        <v>0</v>
      </c>
      <c r="T79" s="15">
        <f t="shared" si="22"/>
        <v>0</v>
      </c>
      <c r="U79" s="15">
        <f t="shared" si="22"/>
        <v>0</v>
      </c>
      <c r="V79" s="15">
        <f t="shared" si="22"/>
        <v>0</v>
      </c>
      <c r="W79" s="15">
        <f t="shared" si="22"/>
        <v>0</v>
      </c>
      <c r="X79" s="15">
        <f t="shared" si="22"/>
        <v>0</v>
      </c>
      <c r="Y79" s="15">
        <f t="shared" si="22"/>
        <v>0</v>
      </c>
      <c r="Z79" s="15">
        <f t="shared" si="22"/>
        <v>0</v>
      </c>
    </row>
    <row r="80" spans="1:26" ht="16.5" customHeight="1">
      <c r="A80" s="5" t="s">
        <v>308</v>
      </c>
      <c r="B80" s="5" t="s">
        <v>78</v>
      </c>
      <c r="C80" s="17">
        <f t="shared" ref="C80:Z80" si="23">C75-C78</f>
        <v>-600811.71747999999</v>
      </c>
      <c r="D80" s="17">
        <f t="shared" si="23"/>
        <v>-150286.48818993452</v>
      </c>
      <c r="E80" s="17">
        <f t="shared" si="23"/>
        <v>-104235.64604669902</v>
      </c>
      <c r="F80" s="17">
        <f t="shared" si="23"/>
        <v>-59810.138183969044</v>
      </c>
      <c r="G80" s="17">
        <f t="shared" si="23"/>
        <v>-16597.802005477832</v>
      </c>
      <c r="H80" s="17">
        <f t="shared" si="23"/>
        <v>26632.002387233661</v>
      </c>
      <c r="I80" s="17">
        <f t="shared" si="23"/>
        <v>70087.944026349927</v>
      </c>
      <c r="J80" s="17">
        <f t="shared" si="23"/>
        <v>113897.56566828582</v>
      </c>
      <c r="K80" s="17">
        <f t="shared" si="23"/>
        <v>158184.84219068132</v>
      </c>
      <c r="L80" s="17">
        <f t="shared" si="23"/>
        <v>203075.78169359674</v>
      </c>
      <c r="M80" s="17">
        <f t="shared" si="23"/>
        <v>248698.37148961192</v>
      </c>
      <c r="N80" s="17">
        <f t="shared" si="23"/>
        <v>276780.61658566311</v>
      </c>
      <c r="O80" s="17">
        <f t="shared" si="23"/>
        <v>209393.07407160351</v>
      </c>
      <c r="P80" s="17">
        <f t="shared" si="23"/>
        <v>352135.22628525842</v>
      </c>
      <c r="Q80" s="17">
        <f t="shared" si="23"/>
        <v>397011.95110765647</v>
      </c>
      <c r="R80" s="17">
        <f t="shared" si="23"/>
        <v>443146.53993855894</v>
      </c>
      <c r="S80" s="17">
        <f t="shared" si="23"/>
        <v>490664.42857170815</v>
      </c>
      <c r="T80" s="17">
        <f t="shared" si="23"/>
        <v>539693.48975343106</v>
      </c>
      <c r="U80" s="17">
        <f t="shared" si="23"/>
        <v>590364.35009318334</v>
      </c>
      <c r="V80" s="17">
        <f t="shared" si="23"/>
        <v>642810.72544559068</v>
      </c>
      <c r="W80" s="17">
        <f t="shared" si="23"/>
        <v>697169.77098650334</v>
      </c>
      <c r="X80" s="17">
        <f t="shared" si="23"/>
        <v>753582.44367746776</v>
      </c>
      <c r="Y80" s="17">
        <f t="shared" si="23"/>
        <v>812193.87584425393</v>
      </c>
      <c r="Z80" s="17">
        <f t="shared" si="23"/>
        <v>873153.75931891042</v>
      </c>
    </row>
    <row r="81" spans="1:26" ht="16.5" customHeight="1">
      <c r="A81" s="5" t="s">
        <v>11</v>
      </c>
      <c r="B81" s="5" t="s">
        <v>78</v>
      </c>
      <c r="C81" s="17">
        <f>C80</f>
        <v>-600811.71747999999</v>
      </c>
      <c r="D81" s="17">
        <f t="shared" ref="D81:Z81" si="24">C81+D80</f>
        <v>-751098.20566993451</v>
      </c>
      <c r="E81" s="17">
        <f t="shared" si="24"/>
        <v>-855333.85171663354</v>
      </c>
      <c r="F81" s="17">
        <f t="shared" si="24"/>
        <v>-915143.98990060261</v>
      </c>
      <c r="G81" s="17">
        <f t="shared" si="24"/>
        <v>-931741.79190608044</v>
      </c>
      <c r="H81" s="17">
        <f t="shared" si="24"/>
        <v>-905109.78951884678</v>
      </c>
      <c r="I81" s="17">
        <f t="shared" si="24"/>
        <v>-835021.84549249685</v>
      </c>
      <c r="J81" s="17">
        <f t="shared" si="24"/>
        <v>-721124.27982421103</v>
      </c>
      <c r="K81" s="17">
        <f t="shared" si="24"/>
        <v>-562939.43763352977</v>
      </c>
      <c r="L81" s="17">
        <f t="shared" si="24"/>
        <v>-359863.65593993303</v>
      </c>
      <c r="M81" s="17">
        <f t="shared" si="24"/>
        <v>-111165.28445032111</v>
      </c>
      <c r="N81" s="17">
        <f t="shared" si="24"/>
        <v>165615.332135342</v>
      </c>
      <c r="O81" s="17">
        <f t="shared" si="24"/>
        <v>375008.40620694554</v>
      </c>
      <c r="P81" s="17">
        <f t="shared" si="24"/>
        <v>727143.63249220396</v>
      </c>
      <c r="Q81" s="17">
        <f t="shared" si="24"/>
        <v>1124155.5835998603</v>
      </c>
      <c r="R81" s="17">
        <f t="shared" si="24"/>
        <v>1567302.1235384191</v>
      </c>
      <c r="S81" s="17">
        <f t="shared" si="24"/>
        <v>2057966.5521101272</v>
      </c>
      <c r="T81" s="17">
        <f t="shared" si="24"/>
        <v>2597660.0418635583</v>
      </c>
      <c r="U81" s="17">
        <f t="shared" si="24"/>
        <v>3188024.3919567419</v>
      </c>
      <c r="V81" s="17">
        <f t="shared" si="24"/>
        <v>3830835.1174023328</v>
      </c>
      <c r="W81" s="17">
        <f t="shared" si="24"/>
        <v>4528004.8883888358</v>
      </c>
      <c r="X81" s="17">
        <f t="shared" si="24"/>
        <v>5281587.3320663031</v>
      </c>
      <c r="Y81" s="17">
        <f t="shared" si="24"/>
        <v>6093781.2079105573</v>
      </c>
      <c r="Z81" s="17">
        <f t="shared" si="24"/>
        <v>6966934.9672294678</v>
      </c>
    </row>
    <row r="82" spans="1:26" ht="16.5" customHeight="1">
      <c r="A82" s="1" t="s">
        <v>309</v>
      </c>
      <c r="B82" s="1" t="s">
        <v>108</v>
      </c>
      <c r="C82" s="13">
        <f t="shared" ref="C82:Z82" si="25">IF(C52=0,0,C80/C52)</f>
        <v>0</v>
      </c>
      <c r="D82" s="13">
        <f t="shared" si="25"/>
        <v>-1.1865858240663794</v>
      </c>
      <c r="E82" s="13">
        <f t="shared" si="25"/>
        <v>-0.58990697066433084</v>
      </c>
      <c r="F82" s="13">
        <f t="shared" si="25"/>
        <v>-0.26597758867443361</v>
      </c>
      <c r="G82" s="13">
        <f t="shared" si="25"/>
        <v>-6.1093772250983926E-2</v>
      </c>
      <c r="H82" s="13">
        <f t="shared" si="25"/>
        <v>8.3631442061348107E-2</v>
      </c>
      <c r="I82" s="13">
        <f t="shared" si="25"/>
        <v>0.19180210559908686</v>
      </c>
      <c r="J82" s="13">
        <f t="shared" si="25"/>
        <v>0.27594684927035301</v>
      </c>
      <c r="K82" s="13">
        <f t="shared" si="25"/>
        <v>0.34343792243101495</v>
      </c>
      <c r="L82" s="13">
        <f t="shared" si="25"/>
        <v>0.39890451285937045</v>
      </c>
      <c r="M82" s="13">
        <f t="shared" si="25"/>
        <v>0.44540054485047459</v>
      </c>
      <c r="N82" s="13">
        <f t="shared" si="25"/>
        <v>0.45478570887246933</v>
      </c>
      <c r="O82" s="13">
        <f t="shared" si="25"/>
        <v>0.31730798993530307</v>
      </c>
      <c r="P82" s="13">
        <f t="shared" si="25"/>
        <v>0.4942643134531764</v>
      </c>
      <c r="Q82" s="13">
        <f t="shared" si="25"/>
        <v>0.51805049033453576</v>
      </c>
      <c r="R82" s="13">
        <f t="shared" si="25"/>
        <v>0.53924079033870032</v>
      </c>
      <c r="S82" s="13">
        <f t="shared" si="25"/>
        <v>0.55826290113702237</v>
      </c>
      <c r="T82" s="13">
        <f t="shared" si="25"/>
        <v>0.57545290557850326</v>
      </c>
      <c r="U82" s="13">
        <f t="shared" si="25"/>
        <v>0.59107851393765898</v>
      </c>
      <c r="V82" s="13">
        <f t="shared" si="25"/>
        <v>0.6053555897965478</v>
      </c>
      <c r="W82" s="13">
        <f t="shared" si="25"/>
        <v>0.61846012360325586</v>
      </c>
      <c r="X82" s="13">
        <f t="shared" si="25"/>
        <v>0.63053705148934081</v>
      </c>
      <c r="Y82" s="13">
        <f t="shared" si="25"/>
        <v>0.64170684691477342</v>
      </c>
      <c r="Z82" s="13">
        <f t="shared" si="25"/>
        <v>0.65207051344570133</v>
      </c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4" t="s">
        <v>310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>
      <c r="A85" s="1" t="s">
        <v>311</v>
      </c>
      <c r="B85" s="1" t="s">
        <v>103</v>
      </c>
      <c r="C85" s="18">
        <f t="shared" ref="C85:Z85" si="26">ROUND(C14-SUM(C7,C9,C11),6)</f>
        <v>0</v>
      </c>
      <c r="D85" s="18">
        <f t="shared" si="26"/>
        <v>0</v>
      </c>
      <c r="E85" s="18">
        <f t="shared" si="26"/>
        <v>0</v>
      </c>
      <c r="F85" s="18">
        <f t="shared" si="26"/>
        <v>0</v>
      </c>
      <c r="G85" s="18">
        <f t="shared" si="26"/>
        <v>0</v>
      </c>
      <c r="H85" s="18">
        <f t="shared" si="26"/>
        <v>0</v>
      </c>
      <c r="I85" s="18">
        <f t="shared" si="26"/>
        <v>0</v>
      </c>
      <c r="J85" s="18">
        <f t="shared" si="26"/>
        <v>0</v>
      </c>
      <c r="K85" s="18">
        <f t="shared" si="26"/>
        <v>0</v>
      </c>
      <c r="L85" s="18">
        <f t="shared" si="26"/>
        <v>0</v>
      </c>
      <c r="M85" s="18">
        <f t="shared" si="26"/>
        <v>0</v>
      </c>
      <c r="N85" s="18">
        <f t="shared" si="26"/>
        <v>0</v>
      </c>
      <c r="O85" s="18">
        <f t="shared" si="26"/>
        <v>0</v>
      </c>
      <c r="P85" s="18">
        <f t="shared" si="26"/>
        <v>0</v>
      </c>
      <c r="Q85" s="18">
        <f t="shared" si="26"/>
        <v>0</v>
      </c>
      <c r="R85" s="18">
        <f t="shared" si="26"/>
        <v>0</v>
      </c>
      <c r="S85" s="18">
        <f t="shared" si="26"/>
        <v>0</v>
      </c>
      <c r="T85" s="18">
        <f t="shared" si="26"/>
        <v>0</v>
      </c>
      <c r="U85" s="18">
        <f t="shared" si="26"/>
        <v>0</v>
      </c>
      <c r="V85" s="18">
        <f t="shared" si="26"/>
        <v>0</v>
      </c>
      <c r="W85" s="18">
        <f t="shared" si="26"/>
        <v>0</v>
      </c>
      <c r="X85" s="18">
        <f t="shared" si="26"/>
        <v>0</v>
      </c>
      <c r="Y85" s="18">
        <f t="shared" si="26"/>
        <v>0</v>
      </c>
      <c r="Z85" s="18">
        <f t="shared" si="26"/>
        <v>0</v>
      </c>
    </row>
    <row r="86" spans="1:26" ht="16.5" customHeight="1">
      <c r="A86" s="1" t="s">
        <v>312</v>
      </c>
      <c r="B86" s="1" t="s">
        <v>103</v>
      </c>
      <c r="C86" s="18">
        <f t="shared" ref="C86:Z86" si="27">ROUND(C34-(SUM(C22:C24)-SUM(C25:C27)+C21),6)</f>
        <v>0</v>
      </c>
      <c r="D86" s="18">
        <f t="shared" si="27"/>
        <v>0</v>
      </c>
      <c r="E86" s="18">
        <f t="shared" si="27"/>
        <v>0</v>
      </c>
      <c r="F86" s="18">
        <f t="shared" si="27"/>
        <v>0</v>
      </c>
      <c r="G86" s="18">
        <f t="shared" si="27"/>
        <v>0</v>
      </c>
      <c r="H86" s="18">
        <f t="shared" si="27"/>
        <v>0</v>
      </c>
      <c r="I86" s="18">
        <f t="shared" si="27"/>
        <v>0</v>
      </c>
      <c r="J86" s="18">
        <f t="shared" si="27"/>
        <v>0</v>
      </c>
      <c r="K86" s="18">
        <f t="shared" si="27"/>
        <v>0</v>
      </c>
      <c r="L86" s="18">
        <f t="shared" si="27"/>
        <v>0</v>
      </c>
      <c r="M86" s="18">
        <f t="shared" si="27"/>
        <v>0</v>
      </c>
      <c r="N86" s="18">
        <f t="shared" si="27"/>
        <v>0</v>
      </c>
      <c r="O86" s="18">
        <f t="shared" si="27"/>
        <v>0</v>
      </c>
      <c r="P86" s="18">
        <f t="shared" si="27"/>
        <v>0</v>
      </c>
      <c r="Q86" s="18">
        <f t="shared" si="27"/>
        <v>0</v>
      </c>
      <c r="R86" s="18">
        <f t="shared" si="27"/>
        <v>0</v>
      </c>
      <c r="S86" s="18">
        <f t="shared" si="27"/>
        <v>0</v>
      </c>
      <c r="T86" s="18">
        <f t="shared" si="27"/>
        <v>0</v>
      </c>
      <c r="U86" s="18">
        <f t="shared" si="27"/>
        <v>0</v>
      </c>
      <c r="V86" s="18">
        <f t="shared" si="27"/>
        <v>0</v>
      </c>
      <c r="W86" s="18">
        <f t="shared" si="27"/>
        <v>0</v>
      </c>
      <c r="X86" s="18">
        <f t="shared" si="27"/>
        <v>0</v>
      </c>
      <c r="Y86" s="18">
        <f t="shared" si="27"/>
        <v>0</v>
      </c>
      <c r="Z86" s="18">
        <f t="shared" si="27"/>
        <v>0</v>
      </c>
    </row>
    <row r="87" spans="1:26" ht="16.5" customHeight="1">
      <c r="A87" s="1" t="s">
        <v>313</v>
      </c>
      <c r="B87" s="1" t="s">
        <v>103</v>
      </c>
      <c r="C87" s="18">
        <f t="shared" ref="C87:Z87" si="28">MAX(0,-MIN(C31,C32,C33,C40,C50))</f>
        <v>0</v>
      </c>
      <c r="D87" s="18">
        <f t="shared" si="28"/>
        <v>0</v>
      </c>
      <c r="E87" s="18">
        <f t="shared" si="28"/>
        <v>0</v>
      </c>
      <c r="F87" s="18">
        <f t="shared" si="28"/>
        <v>0</v>
      </c>
      <c r="G87" s="18">
        <f t="shared" si="28"/>
        <v>0</v>
      </c>
      <c r="H87" s="18">
        <f t="shared" si="28"/>
        <v>0</v>
      </c>
      <c r="I87" s="18">
        <f t="shared" si="28"/>
        <v>0</v>
      </c>
      <c r="J87" s="18">
        <f t="shared" si="28"/>
        <v>0</v>
      </c>
      <c r="K87" s="18">
        <f t="shared" si="28"/>
        <v>0</v>
      </c>
      <c r="L87" s="18">
        <f t="shared" si="28"/>
        <v>0</v>
      </c>
      <c r="M87" s="18">
        <f t="shared" si="28"/>
        <v>0</v>
      </c>
      <c r="N87" s="18">
        <f t="shared" si="28"/>
        <v>0</v>
      </c>
      <c r="O87" s="18">
        <f t="shared" si="28"/>
        <v>0</v>
      </c>
      <c r="P87" s="18">
        <f t="shared" si="28"/>
        <v>0</v>
      </c>
      <c r="Q87" s="18">
        <f t="shared" si="28"/>
        <v>0</v>
      </c>
      <c r="R87" s="18">
        <f t="shared" si="28"/>
        <v>0</v>
      </c>
      <c r="S87" s="18">
        <f t="shared" si="28"/>
        <v>0</v>
      </c>
      <c r="T87" s="18">
        <f t="shared" si="28"/>
        <v>0</v>
      </c>
      <c r="U87" s="18">
        <f t="shared" si="28"/>
        <v>0</v>
      </c>
      <c r="V87" s="18">
        <f t="shared" si="28"/>
        <v>0</v>
      </c>
      <c r="W87" s="18">
        <f t="shared" si="28"/>
        <v>0</v>
      </c>
      <c r="X87" s="18">
        <f t="shared" si="28"/>
        <v>0</v>
      </c>
      <c r="Y87" s="18">
        <f t="shared" si="28"/>
        <v>0</v>
      </c>
      <c r="Z87" s="18">
        <f t="shared" si="28"/>
        <v>0</v>
      </c>
    </row>
    <row r="88" spans="1:26" ht="16.5" customHeight="1">
      <c r="A88" s="1" t="s">
        <v>314</v>
      </c>
      <c r="B88" s="1" t="s">
        <v>103</v>
      </c>
      <c r="C88" s="18">
        <f t="shared" ref="C88:Z88" si="29">MAX(0,C44-C34)</f>
        <v>0</v>
      </c>
      <c r="D88" s="18">
        <f t="shared" si="29"/>
        <v>0</v>
      </c>
      <c r="E88" s="18">
        <f t="shared" si="29"/>
        <v>0</v>
      </c>
      <c r="F88" s="18">
        <f t="shared" si="29"/>
        <v>0</v>
      </c>
      <c r="G88" s="18">
        <f t="shared" si="29"/>
        <v>0</v>
      </c>
      <c r="H88" s="18">
        <f t="shared" si="29"/>
        <v>0</v>
      </c>
      <c r="I88" s="18">
        <f t="shared" si="29"/>
        <v>0</v>
      </c>
      <c r="J88" s="18">
        <f t="shared" si="29"/>
        <v>0</v>
      </c>
      <c r="K88" s="18">
        <f t="shared" si="29"/>
        <v>0</v>
      </c>
      <c r="L88" s="18">
        <f t="shared" si="29"/>
        <v>0</v>
      </c>
      <c r="M88" s="18">
        <f t="shared" si="29"/>
        <v>0</v>
      </c>
      <c r="N88" s="18">
        <f t="shared" si="29"/>
        <v>0</v>
      </c>
      <c r="O88" s="18">
        <f t="shared" si="29"/>
        <v>0</v>
      </c>
      <c r="P88" s="18">
        <f t="shared" si="29"/>
        <v>0</v>
      </c>
      <c r="Q88" s="18">
        <f t="shared" si="29"/>
        <v>0</v>
      </c>
      <c r="R88" s="18">
        <f t="shared" si="29"/>
        <v>0</v>
      </c>
      <c r="S88" s="18">
        <f t="shared" si="29"/>
        <v>0</v>
      </c>
      <c r="T88" s="18">
        <f t="shared" si="29"/>
        <v>0</v>
      </c>
      <c r="U88" s="18">
        <f t="shared" si="29"/>
        <v>0</v>
      </c>
      <c r="V88" s="18">
        <f t="shared" si="29"/>
        <v>0</v>
      </c>
      <c r="W88" s="18">
        <f t="shared" si="29"/>
        <v>0</v>
      </c>
      <c r="X88" s="18">
        <f t="shared" si="29"/>
        <v>0</v>
      </c>
      <c r="Y88" s="18">
        <f t="shared" si="29"/>
        <v>0</v>
      </c>
      <c r="Z88" s="18">
        <f t="shared" si="29"/>
        <v>0</v>
      </c>
    </row>
    <row r="89" spans="1:26" ht="16.5" customHeight="1">
      <c r="A89" s="1" t="s">
        <v>315</v>
      </c>
      <c r="B89" s="1" t="s">
        <v>103</v>
      </c>
      <c r="C89" s="18">
        <f t="shared" ref="C89:Z89" si="30">ROUND(C52+C51-C50,6)</f>
        <v>0</v>
      </c>
      <c r="D89" s="18">
        <f t="shared" si="30"/>
        <v>0</v>
      </c>
      <c r="E89" s="18">
        <f t="shared" si="30"/>
        <v>0</v>
      </c>
      <c r="F89" s="18">
        <f t="shared" si="30"/>
        <v>0</v>
      </c>
      <c r="G89" s="18">
        <f t="shared" si="30"/>
        <v>0</v>
      </c>
      <c r="H89" s="18">
        <f t="shared" si="30"/>
        <v>0</v>
      </c>
      <c r="I89" s="18">
        <f t="shared" si="30"/>
        <v>0</v>
      </c>
      <c r="J89" s="18">
        <f t="shared" si="30"/>
        <v>0</v>
      </c>
      <c r="K89" s="18">
        <f t="shared" si="30"/>
        <v>0</v>
      </c>
      <c r="L89" s="18">
        <f t="shared" si="30"/>
        <v>0</v>
      </c>
      <c r="M89" s="18">
        <f t="shared" si="30"/>
        <v>0</v>
      </c>
      <c r="N89" s="18">
        <f t="shared" si="30"/>
        <v>0</v>
      </c>
      <c r="O89" s="18">
        <f t="shared" si="30"/>
        <v>0</v>
      </c>
      <c r="P89" s="18">
        <f t="shared" si="30"/>
        <v>0</v>
      </c>
      <c r="Q89" s="18">
        <f t="shared" si="30"/>
        <v>0</v>
      </c>
      <c r="R89" s="18">
        <f t="shared" si="30"/>
        <v>0</v>
      </c>
      <c r="S89" s="18">
        <f t="shared" si="30"/>
        <v>0</v>
      </c>
      <c r="T89" s="18">
        <f t="shared" si="30"/>
        <v>0</v>
      </c>
      <c r="U89" s="18">
        <f t="shared" si="30"/>
        <v>0</v>
      </c>
      <c r="V89" s="18">
        <f t="shared" si="30"/>
        <v>0</v>
      </c>
      <c r="W89" s="18">
        <f t="shared" si="30"/>
        <v>0</v>
      </c>
      <c r="X89" s="18">
        <f t="shared" si="30"/>
        <v>0</v>
      </c>
      <c r="Y89" s="18">
        <f t="shared" si="30"/>
        <v>0</v>
      </c>
      <c r="Z89" s="18">
        <f t="shared" si="30"/>
        <v>0</v>
      </c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5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8.33203125" customWidth="1"/>
    <col min="2" max="2" width="37.83203125" customWidth="1"/>
    <col min="3" max="3" width="42.1640625" customWidth="1"/>
    <col min="4" max="4" width="65.5" customWidth="1"/>
    <col min="5" max="26" width="12" customWidth="1"/>
  </cols>
  <sheetData>
    <row r="1" spans="1:26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2" t="s">
        <v>316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3"/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4" t="s">
        <v>317</v>
      </c>
      <c r="B4" s="4" t="s">
        <v>318</v>
      </c>
      <c r="C4" s="4" t="s">
        <v>319</v>
      </c>
      <c r="D4" s="4" t="s">
        <v>320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5" customHeight="1">
      <c r="A5" s="1" t="s">
        <v>80</v>
      </c>
      <c r="B5" s="1" t="s">
        <v>321</v>
      </c>
      <c r="C5" s="23" t="s">
        <v>322</v>
      </c>
      <c r="D5" s="23" t="s">
        <v>323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4.5" customHeight="1">
      <c r="A6" s="1" t="s">
        <v>200</v>
      </c>
      <c r="B6" s="1" t="s">
        <v>324</v>
      </c>
      <c r="C6" s="23" t="s">
        <v>325</v>
      </c>
      <c r="D6" s="23" t="s">
        <v>326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5" customHeight="1">
      <c r="A7" s="1" t="s">
        <v>205</v>
      </c>
      <c r="B7" s="1" t="s">
        <v>327</v>
      </c>
      <c r="C7" s="23" t="s">
        <v>328</v>
      </c>
      <c r="D7" s="23" t="s">
        <v>329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5" customHeight="1">
      <c r="A8" s="1" t="s">
        <v>180</v>
      </c>
      <c r="B8" s="1" t="s">
        <v>330</v>
      </c>
      <c r="C8" s="23" t="s">
        <v>331</v>
      </c>
      <c r="D8" s="23" t="s">
        <v>332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5" customHeight="1">
      <c r="A9" s="1" t="s">
        <v>185</v>
      </c>
      <c r="B9" s="1" t="s">
        <v>333</v>
      </c>
      <c r="C9" s="23" t="s">
        <v>334</v>
      </c>
      <c r="D9" s="23" t="s">
        <v>335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4.5" customHeight="1">
      <c r="A10" s="1" t="s">
        <v>189</v>
      </c>
      <c r="B10" s="1" t="s">
        <v>336</v>
      </c>
      <c r="C10" s="23" t="s">
        <v>337</v>
      </c>
      <c r="D10" s="23" t="s">
        <v>338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4.5" customHeight="1">
      <c r="A11" s="1" t="s">
        <v>213</v>
      </c>
      <c r="B11" s="1" t="s">
        <v>339</v>
      </c>
      <c r="C11" s="23" t="s">
        <v>340</v>
      </c>
      <c r="D11" s="23" t="s">
        <v>341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4.5" customHeight="1">
      <c r="A12" s="1" t="s">
        <v>342</v>
      </c>
      <c r="B12" s="1" t="s">
        <v>343</v>
      </c>
      <c r="C12" s="23" t="s">
        <v>344</v>
      </c>
      <c r="D12" s="23" t="s">
        <v>345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4.5" customHeight="1">
      <c r="A13" s="1" t="s">
        <v>229</v>
      </c>
      <c r="B13" s="1" t="s">
        <v>346</v>
      </c>
      <c r="C13" s="23" t="s">
        <v>347</v>
      </c>
      <c r="D13" s="23" t="s">
        <v>348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4.5" customHeight="1">
      <c r="A14" s="1" t="s">
        <v>233</v>
      </c>
      <c r="B14" s="1" t="s">
        <v>349</v>
      </c>
      <c r="C14" s="23" t="s">
        <v>350</v>
      </c>
      <c r="D14" s="23" t="s">
        <v>351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4.5" customHeight="1">
      <c r="A15" s="1" t="s">
        <v>117</v>
      </c>
      <c r="B15" s="1" t="s">
        <v>352</v>
      </c>
      <c r="C15" s="23" t="s">
        <v>353</v>
      </c>
      <c r="D15" s="23" t="s">
        <v>354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4.5" customHeight="1">
      <c r="A16" s="1" t="s">
        <v>136</v>
      </c>
      <c r="B16" s="1" t="s">
        <v>355</v>
      </c>
      <c r="C16" s="23" t="s">
        <v>356</v>
      </c>
      <c r="D16" s="23" t="s">
        <v>357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4.5" customHeight="1">
      <c r="A17" s="1" t="s">
        <v>121</v>
      </c>
      <c r="B17" s="1" t="s">
        <v>358</v>
      </c>
      <c r="C17" s="23" t="s">
        <v>359</v>
      </c>
      <c r="D17" s="23" t="s">
        <v>360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4.5" customHeight="1">
      <c r="A18" s="1" t="s">
        <v>105</v>
      </c>
      <c r="B18" s="1" t="s">
        <v>361</v>
      </c>
      <c r="C18" s="23" t="s">
        <v>362</v>
      </c>
      <c r="D18" s="2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" t="s">
        <v>363</v>
      </c>
      <c r="B20" s="1" t="s">
        <v>364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"/>
      <c r="B21" s="1" t="s">
        <v>365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"/>
      <c r="B22" s="1" t="s">
        <v>366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"/>
      <c r="B24" s="1" t="s">
        <v>367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Overview</vt:lpstr>
      <vt:lpstr>Assumptions</vt:lpstr>
      <vt:lpstr>Monthly Model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이기욱</cp:lastModifiedBy>
  <dcterms:modified xsi:type="dcterms:W3CDTF">2026-09-23T13:40:30Z</dcterms:modified>
</cp:coreProperties>
</file>