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700fb6cc4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4dd760b814b44bb"/>
    <x:sheet xmlns:r="http://schemas.openxmlformats.org/officeDocument/2006/relationships" name="Assumptions" sheetId="2" r:id="Rb3275865ac444121"/>
    <x:sheet xmlns:r="http://schemas.openxmlformats.org/officeDocument/2006/relationships" name="Monthly Model" sheetId="3" r:id="R2b132bf8465a469b"/>
    <x:sheet xmlns:r="http://schemas.openxmlformats.org/officeDocument/2006/relationships" name="Sources" sheetId="4" r:id="Re3aef4b2d4774c6c"/>
  </x:sheets>
</x:workbook>
</file>

<file path=xl/sharedStrings.xml><?xml version="1.0" encoding="utf-8"?>
<x:sst xmlns:x="http://schemas.openxmlformats.org/spreadsheetml/2006/main">
  <x:si>
    <x:r>
      <x:rPr>
        <x:b/>
        <x:sz val="1500"/>
        <x:color rgb="FF17324D"/>
        <x:rFont val="Linux Libertine G"/>
        <x:family val="2"/>
      </x:rPr>
      <x:t xml:space="preserve">온라인 강의 요약 서비스 </x:t>
    </x:r>
    <x:r>
      <x:rPr>
        <x:b/>
        <x:sz val="1500"/>
        <x:color rgb="FF17324D"/>
        <x:rFont val="Arial"/>
      </x:rPr>
      <x:t xml:space="preserve">· 24</x:t>
    </x:r>
    <x:r>
      <x:rPr>
        <x:b/>
        <x:sz val="1500"/>
        <x:color rgb="FF17324D"/>
        <x:rFont val="Linux Libertine G"/>
        <x:family val="2"/>
      </x:rPr>
      <x:t xml:space="preserve">개월 사업모델</x:t>
    </x:r>
  </x:si>
  <x:si>
    <x:r>
      <x:rPr>
        <x:i/>
        <x:sz val="1000"/>
        <x:color rgb="FF64748B"/>
        <x:rFont val="Linux Libertine G"/>
        <x:family val="2"/>
      </x:rPr>
      <x:t xml:space="preserve">노란 셀을 바꾸면 월별 전망과 아래 차트가 함께 갱신됩니다</x:t>
    </x:r>
    <x:r>
      <x:rPr>
        <x:i/>
        <x:sz val="1000"/>
        <x:color rgb="FF64748B"/>
        <x:rFont val="Arial"/>
      </x:rPr>
      <x:t xml:space="preserve">. </x:t>
    </x:r>
    <x:r>
      <x:rPr>
        <x:i/>
        <x:sz val="1000"/>
        <x:color rgb="FF64748B"/>
        <x:rFont val="Linux Libertine G"/>
        <x:family val="2"/>
      </x:rPr>
      <x:t xml:space="preserve">숫자는 실측 매출이 아닌 계획 시나리오입니다</x:t>
    </x:r>
    <x:r>
      <x:rPr>
        <x:i/>
        <x:sz val="1000"/>
        <x:color rgb="FF64748B"/>
        <x:rFont val="Arial"/>
      </x:rPr>
      <x:t xml:space="preserve">.</x:t>
    </x:r>
  </x:si>
  <x:si>
    <x:t xml:space="preserve">지표</x:t>
  </x:si>
  <x:si>
    <x:t xml:space="preserve">M6</x:t>
  </x:si>
  <x:si>
    <x:t xml:space="preserve">M12</x:t>
  </x:si>
  <x:si>
    <x:t xml:space="preserve">M24</x:t>
  </x:si>
  <x:si>
    <x:t xml:space="preserve">월 신규 가입</x:t>
  </x:si>
  <x:si>
    <x:t xml:space="preserve">기말 유료 고객</x:t>
  </x:si>
  <x:si>
    <x:r>
      <x:rPr>
        <x:sz val="1000"/>
        <x:color rgb="FF243447"/>
        <x:rFont val="Linux Libertine G"/>
        <x:family val="2"/>
      </x:rPr>
      <x:t xml:space="preserve">월 순매출 </x:t>
    </x:r>
    <x:r>
      <x:rPr>
        <x:sz val="1000"/>
        <x:color rgb="FF243447"/>
        <x:rFont val="Arial"/>
      </x:rPr>
      <x:t xml:space="preserve">(VAT </x:t>
    </x:r>
    <x:r>
      <x:rPr>
        <x:sz val="1000"/>
        <x:color rgb="FF243447"/>
        <x:rFont val="Linux Libertine G"/>
        <x:family val="2"/>
      </x:rPr>
      <x:t xml:space="preserve">제외</x:t>
    </x:r>
    <x:r>
      <x:rPr>
        <x:sz val="1000"/>
        <x:color rgb="FF243447"/>
        <x:rFont val="Arial"/>
      </x:rPr>
      <x:t xml:space="preserve">)</x:t>
    </x:r>
  </x:si>
  <x:si>
    <x:t xml:space="preserve">월 전체 비용</x:t>
  </x:si>
  <x:si>
    <x:t xml:space="preserve">월 순이익</x:t>
  </x:si>
  <x:si>
    <x:t xml:space="preserve">누적 순이익</x:t>
  </x:si>
  <x:si>
    <x:t xml:space="preserve">추천 신규 가입</x:t>
  </x:si>
  <x:si>
    <x:t xml:space="preserve">기간 합계</x:t>
  </x:si>
  <x:si>
    <x:r>
      <x:rPr>
        <x:b/>
        <x:sz val="1000"/>
        <x:color rgb="FFFFFFFF"/>
        <x:rFont val="Arial"/>
      </x:rPr>
      <x:t xml:space="preserve">1~12</x:t>
    </x:r>
    <x:r>
      <x:rPr>
        <x:b/>
        <x:sz val="1000"/>
        <x:color rgb="FFFFFFFF"/>
        <x:rFont val="Linux Libertine G"/>
        <x:family val="2"/>
      </x:rPr>
      <x:t xml:space="preserve">개월</x:t>
    </x:r>
  </x:si>
  <x:si>
    <x:r>
      <x:rPr>
        <x:b/>
        <x:sz val="1000"/>
        <x:color rgb="FFFFFFFF"/>
        <x:rFont val="Arial"/>
      </x:rPr>
      <x:t xml:space="preserve">13~24</x:t>
    </x:r>
    <x:r>
      <x:rPr>
        <x:b/>
        <x:sz val="1000"/>
        <x:color rgb="FFFFFFFF"/>
        <x:rFont val="Linux Libertine G"/>
        <x:family val="2"/>
      </x:rPr>
      <x:t xml:space="preserve">개월</x:t>
    </x:r>
  </x:si>
  <x:si>
    <x:r>
      <x:rPr>
        <x:b/>
        <x:sz val="1000"/>
        <x:color rgb="FFFFFFFF"/>
        <x:rFont val="Arial"/>
      </x:rPr>
      <x:t xml:space="preserve">24</x:t>
    </x:r>
    <x:r>
      <x:rPr>
        <x:b/>
        <x:sz val="1000"/>
        <x:color rgb="FFFFFFFF"/>
        <x:rFont val="Linux Libertine G"/>
        <x:family val="2"/>
      </x:rPr>
      <x:t xml:space="preserve">개월 합계</x:t>
    </x:r>
  </x:si>
  <x:si>
    <x:t xml:space="preserve">신규 가입</x:t>
  </x:si>
  <x:si>
    <x:t xml:space="preserve">순매출</x:t>
  </x:si>
  <x:si>
    <x:t xml:space="preserve">전체 비용</x:t>
  </x:si>
  <x:si>
    <x:t xml:space="preserve">순이익</x:t>
  </x:si>
  <x:si>
    <x:t xml:space="preserve">추천 가입</x:t>
  </x:si>
  <x:si>
    <x:t xml:space="preserve">추천 무료월 획득</x:t>
  </x:si>
  <x:si>
    <x:r>
      <x:rPr>
        <x:b/>
        <x:sz val="1100"/>
        <x:color rgb="FF17324D"/>
        <x:rFont val="Linux Libertine G"/>
        <x:family val="2"/>
      </x:rPr>
      <x:t xml:space="preserve">월별 매출 </x:t>
    </x:r>
    <x:r>
      <x:rPr>
        <x:b/>
        <x:sz val="1100"/>
        <x:color rgb="FF17324D"/>
        <x:rFont val="Arial"/>
      </x:rPr>
      <x:t xml:space="preserve">· </x:t>
    </x:r>
    <x:r>
      <x:rPr>
        <x:b/>
        <x:sz val="1100"/>
        <x:color rgb="FF17324D"/>
        <x:rFont val="Linux Libertine G"/>
        <x:family val="2"/>
      </x:rPr>
      <x:t xml:space="preserve">비용 </x:t>
    </x:r>
    <x:r>
      <x:rPr>
        <x:b/>
        <x:sz val="1100"/>
        <x:color rgb="FF17324D"/>
        <x:rFont val="Arial"/>
      </x:rPr>
      <x:t xml:space="preserve">· </x:t>
    </x:r>
    <x:r>
      <x:rPr>
        <x:b/>
        <x:sz val="1100"/>
        <x:color rgb="FF17324D"/>
        <x:rFont val="Linux Libertine G"/>
        <x:family val="2"/>
      </x:rPr>
      <x:t xml:space="preserve">순이익 </x:t>
    </x:r>
    <x:r>
      <x:rPr>
        <x:b/>
        <x:sz val="1100"/>
        <x:color rgb="FF17324D"/>
        <x:rFont val="Arial"/>
      </x:rPr>
      <x:t xml:space="preserve">(</x:t>
    </x:r>
    <x:r>
      <x:rPr>
        <x:b/>
        <x:sz val="1100"/>
        <x:color rgb="FF17324D"/>
        <x:rFont val="Linux Libertine G"/>
        <x:family val="2"/>
      </x:rPr>
      <x:t xml:space="preserve">원</x:t>
    </x:r>
    <x:r>
      <x:rPr>
        <x:b/>
        <x:sz val="1100"/>
        <x:color rgb="FF17324D"/>
        <x:rFont val="Arial"/>
      </x:rPr>
      <x:t xml:space="preserve">)</x:t>
    </x:r>
  </x:si>
  <x:si>
    <x:t xml:space="preserve">모델 적용 규칙</x:t>
  </x:si>
  <x:si>
    <x:t xml:space="preserve">월</x:t>
  </x:si>
  <x:si>
    <x:t xml:space="preserve">M1</x:t>
  </x:si>
  <x:si>
    <x:r>
      <x:rPr>
        <x:sz val="900"/>
        <x:color rgb="FF64748B"/>
        <x:rFont val="Linux Libertine G"/>
        <x:family val="2"/>
      </x:rPr>
      <x:t xml:space="preserve">사전예약 첫달 무료와 일반 </x:t>
    </x:r>
    <x:r>
      <x:rPr>
        <x:sz val="900"/>
        <x:color rgb="FF64748B"/>
        <x:rFont val="Arial"/>
      </x:rPr>
      <x:t xml:space="preserve">14</x:t>
    </x:r>
    <x:r>
      <x:rPr>
        <x:sz val="900"/>
        <x:color rgb="FF64748B"/>
        <x:rFont val="Linux Libertine G"/>
        <x:family val="2"/>
      </x:rPr>
      <x:t xml:space="preserve">일 체험은 중복하지 않습니다</x:t>
    </x:r>
    <x:r>
      <x:rPr>
        <x:sz val="900"/>
        <x:color rgb="FF64748B"/>
        <x:rFont val="Arial"/>
      </x:rPr>
      <x:t xml:space="preserve">.</x:t>
    </x:r>
  </x:si>
  <x:si>
    <x:t xml:space="preserve">M2</x:t>
  </x:si>
  <x:si>
    <x:r>
      <x:rPr>
        <x:sz val="900"/>
        <x:color rgb="FF64748B"/>
        <x:rFont val="Linux Libertine G"/>
        <x:family val="2"/>
      </x:rPr>
      <x:t xml:space="preserve">카드 등록 고객의 무료 기간 종료 후</x:t>
    </x:r>
    <x:r>
      <x:rPr>
        <x:sz val="900"/>
        <x:color rgb="FF64748B"/>
        <x:rFont val="Arial"/>
      </x:rPr>
      <x:t xml:space="preserve">, </x:t>
    </x:r>
    <x:r>
      <x:rPr>
        <x:sz val="900"/>
        <x:color rgb="FF64748B"/>
        <x:rFont val="Linux Libertine G"/>
        <x:family val="2"/>
      </x:rPr>
      <x:t xml:space="preserve">다음 달 유료 전환을 근사합니다</x:t>
    </x:r>
    <x:r>
      <x:rPr>
        <x:sz val="900"/>
        <x:color rgb="FF64748B"/>
        <x:rFont val="Arial"/>
      </x:rPr>
      <x:t xml:space="preserve">.</x:t>
    </x:r>
  </x:si>
  <x:si>
    <x:t xml:space="preserve">M3</x:t>
  </x:si>
  <x:si>
    <x:r>
      <x:rPr>
        <x:sz val="900"/>
        <x:color rgb="FF64748B"/>
        <x:rFont val="Linux Libertine G"/>
        <x:family val="2"/>
      </x:rPr>
      <x:t xml:space="preserve">추천 캠페인은 </x:t>
    </x:r>
    <x:r>
      <x:rPr>
        <x:sz val="900"/>
        <x:color rgb="FF64748B"/>
        <x:rFont val="Arial"/>
      </x:rPr>
      <x:t xml:space="preserve">M1~M2</x:t>
    </x:r>
    <x:r>
      <x:rPr>
        <x:sz val="900"/>
        <x:color rgb="FF64748B"/>
        <x:rFont val="Linux Libertine G"/>
        <x:family val="2"/>
      </x:rPr>
      <x:t xml:space="preserve">만 운영합니다</x:t>
    </x:r>
    <x:r>
      <x:rPr>
        <x:sz val="900"/>
        <x:color rgb="FF64748B"/>
        <x:rFont val="Arial"/>
      </x:rPr>
      <x:t xml:space="preserve">. </x:t>
    </x:r>
    <x:r>
      <x:rPr>
        <x:sz val="900"/>
        <x:color rgb="FF64748B"/>
        <x:rFont val="Linux Libertine G"/>
        <x:family val="2"/>
      </x:rPr>
      <x:t xml:space="preserve">이후 신규 추천 가입은 </x:t>
    </x:r>
    <x:r>
      <x:rPr>
        <x:sz val="900"/>
        <x:color rgb="FF64748B"/>
        <x:rFont val="Arial"/>
      </x:rPr>
      <x:t xml:space="preserve">0</x:t>
    </x:r>
    <x:r>
      <x:rPr>
        <x:sz val="900"/>
        <x:color rgb="FF64748B"/>
        <x:rFont val="Linux Libertine G"/>
        <x:family val="2"/>
      </x:rPr>
      <x:t xml:space="preserve">입니다</x:t>
    </x:r>
    <x:r>
      <x:rPr>
        <x:sz val="900"/>
        <x:color rgb="FF64748B"/>
        <x:rFont val="Arial"/>
      </x:rPr>
      <x:t xml:space="preserve">.</x:t>
    </x:r>
  </x:si>
  <x:si>
    <x:t xml:space="preserve">M4</x:t>
  </x:si>
  <x:si>
    <x:r>
      <x:rPr>
        <x:sz val="900"/>
        <x:color rgb="FF64748B"/>
        <x:rFont val="Linux Libertine G"/>
        <x:family val="2"/>
      </x:rPr>
      <x:t xml:space="preserve">두 명의 카드 체험으로 얻은 무료월은 다음 달 사용하고</x:t>
    </x:r>
    <x:r>
      <x:rPr>
        <x:sz val="900"/>
        <x:color rgb="FF64748B"/>
        <x:rFont val="Arial"/>
      </x:rPr>
      <x:t xml:space="preserve">, </x:t>
    </x:r>
    <x:r>
      <x:rPr>
        <x:sz val="900"/>
        <x:color rgb="FF64748B"/>
        <x:rFont val="Linux Libertine G"/>
        <x:family val="2"/>
      </x:rPr>
      <x:t xml:space="preserve">미사용분은 만료로 근사합니다</x:t>
    </x:r>
    <x:r>
      <x:rPr>
        <x:sz val="900"/>
        <x:color rgb="FF64748B"/>
        <x:rFont val="Arial"/>
      </x:rPr>
      <x:t xml:space="preserve">.</x:t>
    </x:r>
  </x:si>
  <x:si>
    <x:t xml:space="preserve">M5</x:t>
  </x:si>
  <x:si>
    <x:r>
      <x:rPr>
        <x:sz val="900"/>
        <x:color rgb="FF64748B"/>
        <x:rFont val="Linux Libertine G"/>
        <x:family val="2"/>
      </x:rPr>
      <x:t xml:space="preserve">현재 직원이 없으므로 인건비는 </x:t>
    </x:r>
    <x:r>
      <x:rPr>
        <x:sz val="900"/>
        <x:color rgb="FF64748B"/>
        <x:rFont val="Arial"/>
      </x:rPr>
      <x:t xml:space="preserve">0</x:t>
    </x:r>
    <x:r>
      <x:rPr>
        <x:sz val="900"/>
        <x:color rgb="FF64748B"/>
        <x:rFont val="Linux Libertine G"/>
        <x:family val="2"/>
      </x:rPr>
      <x:t xml:space="preserve">원입니다</x:t>
    </x:r>
    <x:r>
      <x:rPr>
        <x:sz val="900"/>
        <x:color rgb="FF64748B"/>
        <x:rFont val="Arial"/>
      </x:rPr>
      <x:t xml:space="preserve">. </x:t>
    </x:r>
    <x:r>
      <x:rPr>
        <x:sz val="900"/>
        <x:color rgb="FF64748B"/>
        <x:rFont val="Linux Libertine G"/>
        <x:family val="2"/>
      </x:rPr>
      <x:t xml:space="preserve">채용 시 해당 레버를 변경하세요</x:t>
    </x:r>
    <x:r>
      <x:rPr>
        <x:sz val="900"/>
        <x:color rgb="FF64748B"/>
        <x:rFont val="Arial"/>
      </x:rPr>
      <x:t xml:space="preserve">.</x:t>
    </x:r>
  </x:si>
  <x:si>
    <x:r>
      <x:rPr>
        <x:sz val="900"/>
        <x:color rgb="FF64748B"/>
        <x:rFont val="Arial"/>
      </x:rPr>
      <x:t xml:space="preserve">Vercel Hobby</x:t>
    </x:r>
    <x:r>
      <x:rPr>
        <x:sz val="900"/>
        <x:color rgb="FF64748B"/>
        <x:rFont val="Linux Libertine G"/>
        <x:family val="2"/>
      </x:rPr>
      <x:t xml:space="preserve">는 비상업용만 허용되어 유료 서비스는 </x:t>
    </x:r>
    <x:r>
      <x:rPr>
        <x:sz val="900"/>
        <x:color rgb="FF64748B"/>
        <x:rFont val="Arial"/>
      </x:rPr>
      <x:t xml:space="preserve">Pro</x:t>
    </x:r>
    <x:r>
      <x:rPr>
        <x:sz val="900"/>
        <x:color rgb="FF64748B"/>
        <x:rFont val="Linux Libertine G"/>
        <x:family val="2"/>
      </x:rPr>
      <x:t xml:space="preserve">부터 시작합니다</x:t>
    </x:r>
    <x:r>
      <x:rPr>
        <x:sz val="900"/>
        <x:color rgb="FF64748B"/>
        <x:rFont val="Arial"/>
      </x:rPr>
      <x:t xml:space="preserve">.</x:t>
    </x:r>
  </x:si>
  <x:si>
    <x:t xml:space="preserve">M7</x:t>
  </x:si>
  <x:si>
    <x:r>
      <x:rPr>
        <x:sz val="900"/>
        <x:color rgb="FF64748B"/>
        <x:rFont val="Arial"/>
      </x:rPr>
      <x:t xml:space="preserve">Supabase</x:t>
    </x:r>
    <x:r>
      <x:rPr>
        <x:sz val="900"/>
        <x:color rgb="FF64748B"/>
        <x:rFont val="Linux Libertine G"/>
        <x:family val="2"/>
      </x:rPr>
      <x:t xml:space="preserve">는 </x:t>
    </x:r>
    <x:r>
      <x:rPr>
        <x:sz val="900"/>
        <x:color rgb="FF64748B"/>
        <x:rFont val="Arial"/>
      </x:rPr>
      <x:t xml:space="preserve">MAU·DB·</x:t>
    </x:r>
    <x:r>
      <x:rPr>
        <x:sz val="900"/>
        <x:color rgb="FF64748B"/>
        <x:rFont val="Linux Libertine G"/>
        <x:family val="2"/>
      </x:rPr>
      <x:t xml:space="preserve">전송</x:t>
    </x:r>
    <x:r>
      <x:rPr>
        <x:sz val="900"/>
        <x:color rgb="FF64748B"/>
        <x:rFont val="Arial"/>
      </x:rPr>
      <x:t xml:space="preserve">·</x:t>
    </x:r>
    <x:r>
      <x:rPr>
        <x:sz val="900"/>
        <x:color rgb="FF64748B"/>
        <x:rFont val="Linux Libertine G"/>
        <x:family val="2"/>
      </x:rPr>
      <x:t xml:space="preserve">저장량이 무료 한도 이내면 </x:t>
    </x:r>
    <x:r>
      <x:rPr>
        <x:sz val="900"/>
        <x:color rgb="FF64748B"/>
        <x:rFont val="Arial"/>
      </x:rPr>
      <x:t xml:space="preserve">0</x:t>
    </x:r>
    <x:r>
      <x:rPr>
        <x:sz val="900"/>
        <x:color rgb="FF64748B"/>
        <x:rFont val="Linux Libertine G"/>
        <x:family val="2"/>
      </x:rPr>
      <x:t xml:space="preserve">원입니다</x:t>
    </x:r>
    <x:r>
      <x:rPr>
        <x:sz val="900"/>
        <x:color rgb="FF64748B"/>
        <x:rFont val="Arial"/>
      </x:rPr>
      <x:t xml:space="preserve">.</x:t>
    </x:r>
  </x:si>
  <x:si>
    <x:t xml:space="preserve">M8</x:t>
  </x:si>
  <x:si>
    <x:r>
      <x:rPr>
        <x:sz val="900"/>
        <x:color rgb="FF64748B"/>
        <x:rFont val="Linux Libertine G"/>
        <x:family val="2"/>
      </x:rPr>
      <x:t xml:space="preserve">음성 인식은 기기 내 처리</x:t>
    </x:r>
    <x:r>
      <x:rPr>
        <x:sz val="900"/>
        <x:color rgb="FF64748B"/>
        <x:rFont val="Arial"/>
      </x:rPr>
      <x:t xml:space="preserve">. </x:t>
    </x:r>
    <x:r>
      <x:rPr>
        <x:sz val="900"/>
        <x:color rgb="FF64748B"/>
        <x:rFont val="Linux Libertine G"/>
        <x:family val="2"/>
      </x:rPr>
      <x:t xml:space="preserve">외부 </x:t>
    </x:r>
    <x:r>
      <x:rPr>
        <x:sz val="900"/>
        <x:color rgb="FF64748B"/>
        <x:rFont val="Arial"/>
      </x:rPr>
      <x:t xml:space="preserve">AI </x:t>
    </x:r>
    <x:r>
      <x:rPr>
        <x:sz val="900"/>
        <x:color rgb="FF64748B"/>
        <x:rFont val="Linux Libertine G"/>
        <x:family val="2"/>
      </x:rPr>
      <x:t xml:space="preserve">요약은 텍스트 토큰 비용만 포함합니다</x:t>
    </x:r>
    <x:r>
      <x:rPr>
        <x:sz val="900"/>
        <x:color rgb="FF64748B"/>
        <x:rFont val="Arial"/>
      </x:rPr>
      <x:t xml:space="preserve">.</x:t>
    </x:r>
  </x:si>
  <x:si>
    <x:t xml:space="preserve">M9</x:t>
  </x:si>
  <x:si>
    <x:r>
      <x:rPr>
        <x:sz val="900"/>
        <x:color rgb="FF64748B"/>
        <x:rFont val="Linux Libertine G"/>
        <x:family val="2"/>
      </x:rPr>
      <x:t xml:space="preserve">매출은 </x:t>
    </x:r>
    <x:r>
      <x:rPr>
        <x:sz val="900"/>
        <x:color rgb="FF64748B"/>
        <x:rFont val="Arial"/>
      </x:rPr>
      <x:t xml:space="preserve">VAT </x:t>
    </x:r>
    <x:r>
      <x:rPr>
        <x:sz val="900"/>
        <x:color rgb="FF64748B"/>
        <x:rFont val="Linux Libertine G"/>
        <x:family val="2"/>
      </x:rPr>
      <x:t xml:space="preserve">제외</x:t>
    </x:r>
    <x:r>
      <x:rPr>
        <x:sz val="900"/>
        <x:color rgb="FF64748B"/>
        <x:rFont val="Arial"/>
      </x:rPr>
      <x:t xml:space="preserve">. </x:t>
    </x:r>
    <x:r>
      <x:rPr>
        <x:sz val="900"/>
        <x:color rgb="FF64748B"/>
        <x:rFont val="Linux Libertine G"/>
        <x:family val="2"/>
      </x:rPr>
      <x:t xml:space="preserve">법인세는 월간 추정과 이월결손금 단순 적용입니다</x:t>
    </x:r>
    <x:r>
      <x:rPr>
        <x:sz val="900"/>
        <x:color rgb="FF64748B"/>
        <x:rFont val="Arial"/>
      </x:rPr>
      <x:t xml:space="preserve">.</x:t>
    </x:r>
  </x:si>
  <x:si>
    <x:t xml:space="preserve">M10</x:t>
  </x:si>
  <x:si>
    <x:t xml:space="preserve">M11</x:t>
  </x:si>
  <x:si>
    <x:t xml:space="preserve">M13</x:t>
  </x:si>
  <x:si>
    <x:t xml:space="preserve">M14</x:t>
  </x:si>
  <x:si>
    <x:t xml:space="preserve">M15</x:t>
  </x:si>
  <x:si>
    <x:t xml:space="preserve">M16</x:t>
  </x:si>
  <x:si>
    <x:t xml:space="preserve">M17</x:t>
  </x:si>
  <x:si>
    <x:t xml:space="preserve">M18</x:t>
  </x:si>
  <x:si>
    <x:t xml:space="preserve">M19</x:t>
  </x:si>
  <x:si>
    <x:t xml:space="preserve">M20</x:t>
  </x:si>
  <x:si>
    <x:t xml:space="preserve">M21</x:t>
  </x:si>
  <x:si>
    <x:t xml:space="preserve">M22</x:t>
  </x:si>
  <x:si>
    <x:t xml:space="preserve">M23</x:t>
  </x:si>
  <x:si>
    <x:t xml:space="preserve">사업모델 가정과 조절값</x:t>
  </x:si>
  <x:si>
    <x:t xml:space="preserve">조절 항목</x:t>
  </x:si>
  <x:si>
    <x:t xml:space="preserve">단위</x:t>
  </x:si>
  <x:si>
    <x:t xml:space="preserve">값</x:t>
  </x:si>
  <x:si>
    <x:t xml:space="preserve">근거 구분</x:t>
  </x:si>
  <x:si>
    <x:r>
      <x:rPr>
        <x:b/>
        <x:sz val="10"/>
        <x:color rgb="FFFFFFFF"/>
        <x:rFont val="Linux Libertine G"/>
        <x:family val="2"/>
      </x:rPr>
      <x:t xml:space="preserve">출처 </x:t>
    </x:r>
    <x:r>
      <x:rPr>
        <x:b/>
        <x:sz val="10"/>
        <x:color rgb="FFFFFFFF"/>
        <x:rFont val="Arial"/>
      </x:rPr>
      <x:t xml:space="preserve">ID</x:t>
    </x:r>
  </x:si>
  <x:si>
    <x:r>
      <x:rPr>
        <x:b/>
        <x:sz val="10"/>
        <x:color rgb="FFFFFFFF"/>
        <x:rFont val="Linux Libertine G"/>
        <x:family val="2"/>
      </x:rPr>
      <x:t xml:space="preserve">정의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Linux Libertine G"/>
        <x:family val="2"/>
      </x:rPr>
      <x:t xml:space="preserve">바꿀 때 확인할 점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</x:si>
  <x:si>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</x:si>
  <x:si>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</x:si>
  <x:si>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3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</x:si>
  <x:si>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4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</x:si>
  <x:si>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5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</x:si>
  <x:si>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6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</x:si>
  <x:si>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7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</x:si>
  <x:si>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8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</x:si>
  <x:si>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9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</x:si>
  <x:si>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10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</x:si>
  <x:si>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11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</x:si>
  <x:si>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sz val="10"/>
        <x:color rgb="FF243447"/>
        <x:rFont val="Linux Libertine G"/>
        <x:family val="2"/>
      </x:rPr>
      <x:t xml:space="preserve">출시 후 </x:t>
    </x:r>
    <x:r>
      <x:rPr>
        <x:sz val="10"/>
        <x:color rgb="FF243447"/>
        <x:rFont val="Arial"/>
      </x:rPr>
      <x:t xml:space="preserve">12</x:t>
    </x:r>
    <x:r>
      <x:rPr>
        <x:sz val="10"/>
        <x:color rgb="FF243447"/>
        <x:rFont val="Linux Libertine G"/>
        <x:family val="2"/>
      </x:rPr>
      <x:t xml:space="preserve">개월</x:t>
    </x:r>
  </x:si>
  <x:si>
    <x:r>
      <x:rPr>
        <x:b/>
        <x:sz val="10"/>
        <x:color rgb="FF17324D"/>
        <x:rFont val="Linux Libertine G"/>
        <x:family val="2"/>
      </x:rPr>
      <x:t xml:space="preserve">상품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체험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추천 규칙</x:t>
    </x:r>
  </x:si>
  <x:si>
    <x:t xml:space="preserve">오가닉 계절 계수</x:t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</x:si>
  <x:si>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월 가격</x:t>
    </x:r>
  </x:si>
  <x:si>
    <x:t xml:space="preserve">원</x:t>
  </x:si>
  <x:si>
    <x:t xml:space="preserve">사용자</x:t>
  </x:si>
  <x:si>
    <x:t xml:space="preserve">U</x:t>
  </x:si>
  <x:si>
    <x:t xml:space="preserve">부가세 포함 소비자 표시가</x:t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</x:si>
  <x:si>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학생가</x:t>
    </x:r>
  </x:si>
  <x:si>
    <x:t xml:space="preserve">학생 인증 시 같은 기능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</x:si>
  <x:si>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월 가격</x:t>
    </x:r>
  </x:si>
  <x:si>
    <x:r>
      <x:rPr>
        <x:i/>
        <x:sz val="9"/>
        <x:color rgb="FF64748B"/>
        <x:rFont val="Arial"/>
      </x:rPr>
      <x:t xml:space="preserve">2</x:t>
    </x:r>
    <x:r>
      <x:rPr>
        <x:i/>
        <x:sz val="9"/>
        <x:color rgb="FF64748B"/>
        <x:rFont val="Linux Libertine G"/>
        <x:family val="2"/>
      </x:rPr>
      <x:t xml:space="preserve">년차에도 같은 계수를 반복합니다</x:t>
    </x:r>
    <x:r>
      <x:rPr>
        <x:i/>
        <x:sz val="9"/>
        <x:color rgb="FF64748B"/>
        <x:rFont val="Arial"/>
      </x:rPr>
      <x:t xml:space="preserve">. </x:t>
    </x:r>
    <x:r>
      <x:rPr>
        <x:i/>
        <x:sz val="9"/>
        <x:color rgb="FF64748B"/>
        <x:rFont val="Linux Libertine G"/>
        <x:family val="2"/>
      </x:rPr>
      <x:t xml:space="preserve">방학</x:t>
    </x:r>
    <x:r>
      <x:rPr>
        <x:i/>
        <x:sz val="9"/>
        <x:color rgb="FF64748B"/>
        <x:rFont val="Arial"/>
      </x:rPr>
      <x:t xml:space="preserve">·</x:t>
    </x:r>
    <x:r>
      <x:rPr>
        <x:i/>
        <x:sz val="9"/>
        <x:color rgb="FF64748B"/>
        <x:rFont val="Linux Libertine G"/>
        <x:family val="2"/>
      </x:rPr>
      <x:t xml:space="preserve">개강 효과는 실측 후 입력하세요</x:t>
    </x:r>
    <x:r>
      <x:rPr>
        <x:i/>
        <x:sz val="9"/>
        <x:color rgb="FF64748B"/>
        <x:rFont val="Arial"/>
      </x:rPr>
      <x:t xml:space="preserve">.</x:t>
    </x:r>
  </x:si>
  <x:si>
    <x:t xml:space="preserve">일반 무료체험 기간</x:t>
  </x:si>
  <x:si>
    <x:t xml:space="preserve">일</x:t>
  </x:si>
  <x:si>
    <x:r>
      <x:rPr>
        <x:sz val="10"/>
        <x:color rgb="FF243447"/>
        <x:rFont val="Arial"/>
      </x:rPr>
      <x:t xml:space="preserve">30</x:t>
    </x:r>
    <x:r>
      <x:rPr>
        <x:sz val="10"/>
        <x:color rgb="FF243447"/>
        <x:rFont val="Linux Libertine G"/>
        <x:family val="2"/>
      </x:rPr>
      <x:t xml:space="preserve">일 이하는 다음 달 전환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더 길면 해당 개월 수만큼 지연</x:t>
    </x:r>
  </x:si>
  <x:si>
    <x:t xml:space="preserve">체험 최대 이용량</x:t>
  </x:si>
  <x:si>
    <x:t xml:space="preserve">분</x:t>
  </x:si>
  <x:si>
    <x:t xml:space="preserve">체험 사용량에 상한 적용</x:t>
  </x:si>
  <x:si>
    <x:t xml:space="preserve">가격 비중 합계</x:t>
  </x:si>
  <x:si>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인당 초대 코드</x:t>
    </x:r>
  </x:si>
  <x:si>
    <x:t xml:space="preserve">개</x:t>
  </x:si>
  <x:si>
    <x:t xml:space="preserve">추천 보상은 두 코드가 모두 인정될 때 지급</x:t>
  </x:si>
  <x:si>
    <x:t xml:space="preserve">사전예약 첫달 무료</x:t>
  </x:si>
  <x:si>
    <x:t xml:space="preserve">개월</x:t>
  </x:si>
  <x:si>
    <x:t xml:space="preserve">카드 등록을 완료한 유료 플랜 이용자</x:t>
  </x:si>
  <x:si>
    <x:t xml:space="preserve">추천 보상 무료 기간</x:t>
  </x:si>
  <x:si>
    <x:r>
      <x:rPr>
        <x:sz val="10"/>
        <x:color rgb="FF243447"/>
        <x:rFont val="Linux Libertine G"/>
        <x:family val="2"/>
      </x:rPr>
      <x:t xml:space="preserve">한 추천인이 코드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개 모두 달성 시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회 지급</x:t>
    </x:r>
  </x:si>
  <x:si>
    <x:r>
      <x:rPr>
        <x:b/>
        <x:sz val="10"/>
        <x:color rgb="FF17324D"/>
        <x:rFont val="Linux Libertine G"/>
        <x:family val="2"/>
      </x:rPr>
      <x:t xml:space="preserve">신규 유입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무료체험 전환</x:t>
    </x:r>
  </x:si>
  <x:si>
    <x:t xml:space="preserve">출시 시 사전예약자</x:t>
  </x:si>
  <x:si>
    <x:t xml:space="preserve">명</x:t>
  </x:si>
  <x:si>
    <x:t xml:space="preserve">가정</x:t>
  </x:si>
  <x:si>
    <x:t xml:space="preserve">A</x:t>
  </x:si>
  <x:si>
    <x:t xml:space="preserve">현재 웨이트리스트 실측값으로 교체</x:t>
  </x:si>
  <x:si>
    <x:t xml:space="preserve">사전예약 → 계정 가입</x:t>
  </x:si>
  <x:si>
    <x:t xml:space="preserve">%</x:t>
  </x:si>
  <x:si>
    <x:t xml:space="preserve">사전예약자 중 출시 후 가입 비중</x:t>
  </x:si>
  <x:si>
    <x:t xml:space="preserve">사전예약 가입 → 카드 등록</x:t>
  </x:si>
  <x:si>
    <x:t xml:space="preserve">첫달 무료 혜택 시작 비중</x:t>
  </x:si>
  <x:si>
    <x:t xml:space="preserve">출시 첫달 오가닉 가입</x:t>
  </x:si>
  <x:si>
    <x:r>
      <x:rPr>
        <x:sz val="10"/>
        <x:color rgb="FF243447"/>
        <x:rFont val="Linux Libertine G"/>
        <x:family val="2"/>
      </x:rPr>
      <x:t xml:space="preserve">광고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추천 제외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실측 획득 채널로 교체</x:t>
    </x:r>
  </x:si>
  <x:si>
    <x:t xml:space="preserve">오가닉 월 성장률</x:t>
  </x:si>
  <x:si>
    <x:t xml:space="preserve">아래 학사시즌 계수와 별도 적용</x:t>
  </x:si>
  <x:si>
    <x:t xml:space="preserve">오가닉 가입 → 카드 체험</x:t>
  </x:si>
  <x:si>
    <x:t xml:space="preserve">B1</x:t>
  </x:si>
  <x:si>
    <x:t xml:space="preserve">체험→유료 전환과 곱해야 가입→유료</x:t>
  </x:si>
  <x:si>
    <x:t xml:space="preserve">추천 자격자 중 두 코드 공유</x:t>
  </x:si>
  <x:si>
    <x:t xml:space="preserve">참고 기반 가정</x:t>
  </x:si>
  <x:si>
    <x:t xml:space="preserve">B3</x:t>
  </x:si>
  <x:si>
    <x:r>
      <x:rPr>
        <x:sz val="10"/>
        <x:color rgb="FF243447"/>
        <x:rFont val="Linux Libertine G"/>
        <x:family val="2"/>
      </x:rPr>
      <x:t xml:space="preserve">추천으로 유입된 고객의 공유율 참고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본 제품 실측 아님</x:t>
    </x:r>
  </x:si>
  <x:si>
    <x:t xml:space="preserve">초대 코드 수신 → 가입</x:t>
  </x:si>
  <x:si>
    <x:t xml:space="preserve">공유한 각 코드의 가입 확률</x:t>
  </x:si>
  <x:si>
    <x:t xml:space="preserve">추천 가입 → 카드 체험</x:t>
  </x:si>
  <x:si>
    <x:t xml:space="preserve">카드 등록 후 무료체험 시작이 추천 인정 조건</x:t>
  </x:si>
  <x:si>
    <x:t xml:space="preserve">오가닉 카드 체험 → 유료</x:t>
  </x:si>
  <x:si>
    <x:r>
      <x:rPr>
        <x:sz val="10"/>
        <x:color rgb="FF243447"/>
        <x:rFont val="Linux Libertine G"/>
        <x:family val="2"/>
      </x:rPr>
      <x:t xml:space="preserve">가입→유료 </x:t>
    </x:r>
    <x:r>
      <x:rPr>
        <x:sz val="10"/>
        <x:color rgb="FF243447"/>
        <x:rFont val="Arial"/>
      </x:rPr>
      <x:t xml:space="preserve">8.75%. </x:t>
    </x:r>
    <x:r>
      <x:rPr>
        <x:sz val="10"/>
        <x:color rgb="FF243447"/>
        <x:rFont val="Linux Libertine G"/>
        <x:family val="2"/>
      </x:rPr>
      <x:t xml:space="preserve">조사 수치는 </x:t>
    </x:r>
    <x:r>
      <x:rPr>
        <x:sz val="10"/>
        <x:color rgb="FF243447"/>
        <x:rFont val="Arial"/>
      </x:rPr>
      <x:t xml:space="preserve">6</x:t>
    </x:r>
    <x:r>
      <x:rPr>
        <x:sz val="10"/>
        <x:color rgb="FF243447"/>
        <x:rFont val="Linux Libertine G"/>
        <x:family val="2"/>
      </x:rPr>
      <x:t xml:space="preserve">개월 기준이라 직접 비교 불가</x:t>
    </x:r>
  </x:si>
  <x:si>
    <x:t xml:space="preserve">추천 카드 체험 → 유료</x:t>
  </x:si>
  <x:si>
    <x:t xml:space="preserve">체험 완료 다음 달부터 유료 과금</x:t>
  </x:si>
  <x:si>
    <x:t xml:space="preserve">사전예약 첫달 무료 → 유료</x:t>
  </x:si>
  <x:si>
    <x:t xml:space="preserve">무료 한 달 후 첫 결제 성공률</x:t>
  </x:si>
  <x:si>
    <x:r>
      <x:rPr>
        <x:b/>
        <x:sz val="10"/>
        <x:color rgb="FF17324D"/>
        <x:rFont val="Linux Libertine G"/>
        <x:family val="2"/>
      </x:rPr>
      <x:t xml:space="preserve">기존 고객 유지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가격 구성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</x:si>
  <x:si>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월 유료 이탈률</x:t>
    </x:r>
  </x:si>
  <x:si>
    <x:t xml:space="preserve">벤치마크</x:t>
  </x:si>
  <x:si>
    <x:t xml:space="preserve">B2</x:t>
  </x:si>
  <x:si>
    <x:r>
      <x:rPr>
        <x:sz val="10"/>
        <x:color rgb="FF243447"/>
        <x:rFont val="Linux Libertine G"/>
        <x:family val="2"/>
      </x:rPr>
      <x:t xml:space="preserve">저가 </x:t>
    </x:r>
    <x:r>
      <x:rPr>
        <x:sz val="10"/>
        <x:color rgb="FF243447"/>
        <x:rFont val="Arial"/>
      </x:rPr>
      <x:t xml:space="preserve">SaaS</x:t>
    </x:r>
    <x:r>
      <x:rPr>
        <x:sz val="10"/>
        <x:color rgb="FF243447"/>
        <x:rFont val="Linux Libertine G"/>
        <x:family val="2"/>
      </x:rPr>
      <x:t xml:space="preserve">의 월 고객 이탈률 </x:t>
    </x:r>
    <x:r>
      <x:rPr>
        <x:sz val="10"/>
        <x:color rgb="FF243447"/>
        <x:rFont val="Arial"/>
      </x:rPr>
      <x:t xml:space="preserve">6.1~6.4% </x:t>
    </x:r>
    <x:r>
      <x:rPr>
        <x:sz val="10"/>
        <x:color rgb="FF243447"/>
        <x:rFont val="Linux Libertine G"/>
        <x:family val="2"/>
      </x:rPr>
      <x:t xml:space="preserve">참고</x:t>
    </x:r>
  </x:si>
  <x:si>
    <x:t xml:space="preserve">학생가 월 유료 이탈률</x:t>
  </x:si>
  <x:si>
    <x:r>
      <x:rPr>
        <x:sz val="10"/>
        <x:color rgb="FF243447"/>
        <x:rFont val="Linux Libertine G"/>
        <x:family val="2"/>
      </x:rPr>
      <x:t xml:space="preserve">방학 영향 미반영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학사시즌 계수 조정 권장</x:t>
    </x:r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</x:si>
  <x:si>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월 유료 이탈률</x:t>
    </x:r>
  </x:si>
  <x:si>
    <x:r>
      <x:rPr>
        <x:sz val="10"/>
        <x:color rgb="FF243447"/>
        <x:rFont val="Linux Libertine G"/>
        <x:family val="2"/>
      </x:rPr>
      <x:t xml:space="preserve">계약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실측 전까지 동일 기본값</x:t>
    </x:r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</x:si>
  <x:si>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월 비활성 이탈률</x:t>
    </x:r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</x:si>
  <x:si>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계정 활성 사용자 재고의 이탈</x:t>
    </x:r>
  </x:si>
  <x:si>
    <x:r>
      <x:rPr>
        <x:sz val="10"/>
        <x:color rgb="FF243447"/>
        <x:rFont val="Linux Libertine G"/>
        <x:family val="2"/>
      </x:rPr>
      <x:t xml:space="preserve">유료 이탈 → </x:t>
    </x:r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잔류</x:t>
    </x:r>
  </x:si>
  <x:si>
    <x:r>
      <x:rPr>
        <x:sz val="10"/>
        <x:color rgb="FF243447"/>
        <x:rFont val="Linux Libertine G"/>
        <x:family val="2"/>
      </x:rPr>
      <x:t xml:space="preserve">유료 해지 후 무료 사용자는 </x:t>
    </x:r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재고로 이동</x:t>
    </x:r>
  </x:si>
  <x:si>
    <x:r>
      <x:rPr>
        <x:sz val="10"/>
        <x:color rgb="FF243447"/>
        <x:rFont val="Linux Libertine G"/>
        <x:family val="2"/>
      </x:rPr>
      <x:t xml:space="preserve">신규 유료 </x:t>
    </x:r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비중</x:t>
    </x:r>
  </x:si>
  <x:si>
    <x:r>
      <x:rPr>
        <x:sz val="10"/>
        <x:color rgb="FF243447"/>
        <x:rFont val="Linux Libertine G"/>
        <x:family val="2"/>
      </x:rPr>
      <x:t xml:space="preserve">학생가</x:t>
    </x:r>
    <x:r>
      <x:rPr>
        <x:sz val="10"/>
        <x:color rgb="FF243447"/>
        <x:rFont val="Arial"/>
      </x:rPr>
      <x:t xml:space="preserve">·Pro </x:t>
    </x:r>
    <x:r>
      <x:rPr>
        <x:sz val="10"/>
        <x:color rgb="FF243447"/>
        <x:rFont val="Linux Libertine G"/>
        <x:family val="2"/>
      </x:rPr>
      <x:t xml:space="preserve">비중과 합계 </x:t>
    </x:r>
    <x:r>
      <x:rPr>
        <x:sz val="10"/>
        <x:color rgb="FF243447"/>
        <x:rFont val="Arial"/>
      </x:rPr>
      <x:t xml:space="preserve">100%</x:t>
    </x:r>
  </x:si>
  <x:si>
    <x:t xml:space="preserve">신규 유료 학생가 비중</x:t>
  </x:si>
  <x:si>
    <x:t xml:space="preserve">학생 타깃 특성 반영한 초기 가정</x:t>
  </x:si>
  <x:si>
    <x:r>
      <x:rPr>
        <x:sz val="10"/>
        <x:color rgb="FF243447"/>
        <x:rFont val="Linux Libertine G"/>
        <x:family val="2"/>
      </x:rPr>
      <x:t xml:space="preserve">신규 유료 </x:t>
    </x:r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비중</x:t>
    </x:r>
  </x:si>
  <x:si>
    <x:r>
      <x:rPr>
        <x:sz val="10"/>
        <x:color rgb="FF243447"/>
        <x:rFont val="Linux Libertine G"/>
        <x:family val="2"/>
      </x:rPr>
      <x:t xml:space="preserve">나머지와 합계 </x:t>
    </x:r>
    <x:r>
      <x:rPr>
        <x:sz val="10"/>
        <x:color rgb="FF243447"/>
        <x:rFont val="Arial"/>
      </x:rPr>
      <x:t xml:space="preserve">100%</x:t>
    </x:r>
  </x:si>
  <x:si>
    <x:t xml:space="preserve">다음달 추천 보상 사용률</x:t>
  </x:si>
  <x:si>
    <x:r>
      <x:rPr>
        <x:sz val="10"/>
        <x:color rgb="FF243447"/>
        <x:rFont val="Linux Libertine G"/>
        <x:family val="2"/>
      </x:rPr>
      <x:t xml:space="preserve">미사용분은 만료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유료 구독 지속 여부 근사</x:t>
    </x:r>
  </x:si>
  <x:si>
    <x:r>
      <x:rPr>
        <x:b/>
        <x:sz val="10"/>
        <x:color rgb="FF17324D"/>
        <x:rFont val="Linux Libertine G"/>
        <x:family val="2"/>
      </x:rPr>
      <x:t xml:space="preserve">활동량 </x:t>
    </x:r>
    <x:r>
      <x:rPr>
        <x:b/>
        <x:sz val="10"/>
        <x:color rgb="FF17324D"/>
        <x:rFont val="Arial"/>
      </x:rPr>
      <x:t xml:space="preserve">· </x:t>
    </x:r>
    <x:r>
      <x:rPr>
        <x:b/>
        <x:sz val="10"/>
        <x:color rgb="FF17324D"/>
        <x:rFont val="Linux Libertine G"/>
        <x:family val="2"/>
      </x:rPr>
      <x:t xml:space="preserve">추론 비용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</x:si>
  <x:si>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유료 월 평균 강의</x:t>
    </x:r>
  </x:si>
  <x:si>
    <x:t xml:space="preserve">제공 한도가 아닌 실제 평균 사용량</x:t>
  </x:si>
  <x:si>
    <x:t xml:space="preserve">학생가 유료 월 평균 강의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</x:si>
  <x:si>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유료 월 평균 강의</x:t>
    </x:r>
  </x:si>
  <x:si>
    <x:r>
      <x:rPr>
        <x:sz val="10"/>
        <x:color rgb="FF243447"/>
        <x:rFont val="Linux Libertine G"/>
        <x:family val="2"/>
      </x:rPr>
      <x:t xml:space="preserve">체험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인 평균 강의</x:t>
    </x:r>
  </x:si>
  <x:si>
    <x:r>
      <x:rPr>
        <x:sz val="10"/>
        <x:color rgb="FF243447"/>
        <x:rFont val="Arial"/>
      </x:rPr>
      <x:t xml:space="preserve">200</x:t>
    </x:r>
    <x:r>
      <x:rPr>
        <x:sz val="10"/>
        <x:color rgb="FF243447"/>
        <x:rFont val="Linux Libertine G"/>
        <x:family val="2"/>
      </x:rPr>
      <x:t xml:space="preserve">분 체험 상한 적용</x:t>
    </x:r>
  </x:si>
  <x:si>
    <x:t xml:space="preserve">사전예약 무료월 평균 강의</x:t>
  </x:si>
  <x:si>
    <x:t xml:space="preserve">첫 달은 유료 플랜 기능 이용</x:t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</x:si>
  <x:si>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월 평균 강의</x:t>
    </x:r>
  </x:si>
  <x:si>
    <x:r>
      <x:rPr>
        <x:sz val="10"/>
        <x:color rgb="FF243447"/>
        <x:rFont val="Linux Libertine G"/>
        <x:family val="2"/>
      </x:rPr>
      <x:t xml:space="preserve">기본은 기기 내 처리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외부 </x:t>
    </x:r>
    <x:r>
      <x:rPr>
        <x:sz val="10"/>
        <x:color rgb="FF243447"/>
        <x:rFont val="Arial"/>
      </x:rPr>
      <x:t xml:space="preserve">LLM 0</x:t>
    </x:r>
  </x:si>
  <x:si>
    <x:r>
      <x:rPr>
        <x:sz val="10"/>
        <x:color rgb="FF243447"/>
        <x:rFont val="Linux Libertine G"/>
        <x:family val="2"/>
      </x:rPr>
      <x:t xml:space="preserve">유료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체험 강의의 외부 </x:t>
    </x:r>
    <x:r>
      <x:rPr>
        <x:sz val="10"/>
        <x:color rgb="FF243447"/>
        <x:rFont val="Arial"/>
      </x:rPr>
      <x:t xml:space="preserve">AI </x:t>
    </x:r>
    <x:r>
      <x:rPr>
        <x:sz val="10"/>
        <x:color rgb="FF243447"/>
        <x:rFont val="Linux Libertine G"/>
        <x:family val="2"/>
      </x:rPr>
      <x:t xml:space="preserve">요약 비중</x:t>
    </x:r>
  </x:si>
  <x:si>
    <x:t xml:space="preserve">사용자가 별도 동의한 텍스트 요약만 포함</x:t>
  </x:si>
  <x:si>
    <x:r>
      <x:rPr>
        <x:sz val="10"/>
        <x:color rgb="FF243447"/>
        <x:rFont val="Linux Libertine G"/>
        <x:family val="2"/>
      </x:rPr>
      <x:t xml:space="preserve">강의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분당 입력 토큰</x:t>
    </x:r>
  </x:si>
  <x:si>
    <x:t xml:space="preserve">토큰</x:t>
  </x:si>
  <x:si>
    <x:r>
      <x:rPr>
        <x:sz val="10"/>
        <x:color rgb="FF243447"/>
        <x:rFont val="Linux Libertine G"/>
        <x:family val="2"/>
      </x:rPr>
      <x:t xml:space="preserve">자막</x:t>
    </x:r>
    <x:r>
      <x:rPr>
        <x:sz val="10"/>
        <x:color rgb="FF243447"/>
        <x:rFont val="Arial"/>
      </x:rPr>
      <x:t xml:space="preserve">·OCR·</x:t>
    </x:r>
    <x:r>
      <x:rPr>
        <x:sz val="10"/>
        <x:color rgb="FF243447"/>
        <x:rFont val="Linux Libertine G"/>
        <x:family val="2"/>
      </x:rPr>
      <x:t xml:space="preserve">프롬프트 합계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실측 </x:t>
    </x:r>
    <x:r>
      <x:rPr>
        <x:sz val="10"/>
        <x:color rgb="FF243447"/>
        <x:rFont val="Arial"/>
      </x:rPr>
      <x:t xml:space="preserve">API </x:t>
    </x:r>
    <x:r>
      <x:rPr>
        <x:sz val="10"/>
        <x:color rgb="FF243447"/>
        <x:rFont val="Linux Libertine G"/>
        <x:family val="2"/>
      </x:rPr>
      <x:t xml:space="preserve">로그로 교체</x:t>
    </x:r>
  </x:si>
  <x:si>
    <x:r>
      <x:rPr>
        <x:sz val="10"/>
        <x:color rgb="FF243447"/>
        <x:rFont val="Linux Libertine G"/>
        <x:family val="2"/>
      </x:rPr>
      <x:t xml:space="preserve">강의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분당 출력 토큰</x:t>
    </x:r>
  </x:si>
  <x:si>
    <x:r>
      <x:rPr>
        <x:sz val="10"/>
        <x:color rgb="FF243447"/>
        <x:rFont val="Linux Libertine G"/>
        <x:family val="2"/>
      </x:rPr>
      <x:t xml:space="preserve">노트 출력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실측 </x:t>
    </x:r>
    <x:r>
      <x:rPr>
        <x:sz val="10"/>
        <x:color rgb="FF243447"/>
        <x:rFont val="Arial"/>
      </x:rPr>
      <x:t xml:space="preserve">API </x:t>
    </x:r>
    <x:r>
      <x:rPr>
        <x:sz val="10"/>
        <x:color rgb="FF243447"/>
        <x:rFont val="Linux Libertine G"/>
        <x:family val="2"/>
      </x:rPr>
      <x:t xml:space="preserve">로그로 교체</x:t>
    </x:r>
  </x:si>
  <x:si>
    <x:r>
      <x:rPr>
        <x:sz val="10"/>
        <x:color rgb="FF243447"/>
        <x:rFont val="Linux Libertine G"/>
        <x:family val="2"/>
      </x:rPr>
      <x:t xml:space="preserve">재시도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부가 호출 배수</x:t>
    </x:r>
  </x:si>
  <x:si>
    <x:t xml:space="preserve">배</x:t>
  </x:si>
  <x:si>
    <x:t xml:space="preserve">요약 단계 수와 실패 재시도 포함</x:t>
  </x:si>
  <x:si>
    <x:r>
      <x:rPr>
        <x:sz val="10"/>
        <x:color rgb="FF243447"/>
        <x:rFont val="Arial"/>
      </x:rPr>
      <x:t xml:space="preserve">Gemini 3.8 Flash </x:t>
    </x:r>
    <x:r>
      <x:rPr>
        <x:sz val="10"/>
        <x:color rgb="FF243447"/>
        <x:rFont val="Linux Libertine G"/>
        <x:family val="2"/>
      </x:rPr>
      <x:t xml:space="preserve">사용 비중</x:t>
    </x:r>
  </x:si>
  <x:si>
    <x:r>
      <x:rPr>
        <x:sz val="10"/>
        <x:color rgb="FF243447"/>
        <x:rFont val="Linux Libertine G"/>
        <x:family val="2"/>
      </x:rPr>
      <x:t xml:space="preserve">나머지는 </x:t>
    </x:r>
    <x:r>
      <x:rPr>
        <x:sz val="10"/>
        <x:color rgb="FF243447"/>
        <x:rFont val="Arial"/>
      </x:rPr>
      <x:t xml:space="preserve">Flash Lite. </x:t>
    </x:r>
    <x:r>
      <x:rPr>
        <x:sz val="10"/>
        <x:color rgb="FF243447"/>
        <x:rFont val="Linux Libertine G"/>
        <x:family val="2"/>
      </x:rPr>
      <x:t xml:space="preserve">실제 기본 모델은 </x:t>
    </x:r>
    <x:r>
      <x:rPr>
        <x:sz val="10"/>
        <x:color rgb="FF243447"/>
        <x:rFont val="Arial"/>
      </x:rPr>
      <x:t xml:space="preserve">Flash Lite</x:t>
    </x:r>
  </x:si>
  <x:si>
    <x:r>
      <x:rPr>
        <x:sz val="10"/>
        <x:color rgb="FF243447"/>
        <x:rFont val="Arial"/>
      </x:rPr>
      <x:t xml:space="preserve">Flash Lite </x:t>
    </x:r>
    <x:r>
      <x:rPr>
        <x:sz val="10"/>
        <x:color rgb="FF243447"/>
        <x:rFont val="Linux Libertine G"/>
        <x:family val="2"/>
      </x:rPr>
      <x:t xml:space="preserve">입력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</x:si>
  <x:si>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t xml:space="preserve">USD</x:t>
  </x:si>
  <x:si>
    <x:t xml:space="preserve">공식 요금</x:t>
  </x:si>
  <x:si>
    <x:t xml:space="preserve">P3</x:t>
  </x:si>
  <x:si>
    <x:r>
      <x:rPr>
        <x:sz val="10"/>
        <x:color rgb="FF243447"/>
        <x:rFont val="Arial"/>
      </x:rPr>
      <x:t xml:space="preserve">OpenRouter Google Vertex </x:t>
    </x:r>
    <x:r>
      <x:rPr>
        <x:sz val="10"/>
        <x:color rgb="FF243447"/>
        <x:rFont val="Linux Libertine G"/>
        <x:family val="2"/>
      </x:rPr>
      <x:t xml:space="preserve">공개 단가</x:t>
    </x:r>
  </x:si>
  <x:si>
    <x:r>
      <x:rPr>
        <x:sz val="10"/>
        <x:color rgb="FF243447"/>
        <x:rFont val="Arial"/>
      </x:rPr>
      <x:t xml:space="preserve">Flash Lite </x:t>
    </x:r>
    <x:r>
      <x:rPr>
        <x:sz val="10"/>
        <x:color rgb="FF243447"/>
        <x:rFont val="Linux Libertine G"/>
        <x:family val="2"/>
      </x:rPr>
      <x:t xml:space="preserve">출력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</x:si>
  <x:si>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r>
      <x:rPr>
        <x:sz val="10"/>
        <x:color rgb="FF243447"/>
        <x:rFont val="Arial"/>
      </x:rPr>
      <x:t xml:space="preserve">3.8 Flash </x:t>
    </x:r>
    <x:r>
      <x:rPr>
        <x:sz val="10"/>
        <x:color rgb="FF243447"/>
        <x:rFont val="Linux Libertine G"/>
        <x:family val="2"/>
      </x:rPr>
      <x:t xml:space="preserve">입력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</x:si>
  <x:si>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t xml:space="preserve">보수적 가정</x:t>
  </x:si>
  <x:si>
    <x:t xml:space="preserve">P4</x:t>
  </x:si>
  <x:si>
    <x:r>
      <x:rPr>
        <x:sz val="10"/>
        <x:color rgb="FF243447"/>
        <x:rFont val="Arial"/>
      </x:rPr>
      <x:t xml:space="preserve">50% </x:t>
    </x:r>
    <x:r>
      <x:rPr>
        <x:sz val="10"/>
        <x:color rgb="FF243447"/>
        <x:rFont val="Linux Libertine G"/>
        <x:family val="2"/>
      </x:rPr>
      <x:t xml:space="preserve">한시 할인 이전 정가로 계획</x:t>
    </x:r>
  </x:si>
  <x:si>
    <x:r>
      <x:rPr>
        <x:sz val="10"/>
        <x:color rgb="FF243447"/>
        <x:rFont val="Arial"/>
      </x:rPr>
      <x:t xml:space="preserve">3.8 Flash </x:t>
    </x:r>
    <x:r>
      <x:rPr>
        <x:sz val="10"/>
        <x:color rgb="FF243447"/>
        <x:rFont val="Linux Libertine G"/>
        <x:family val="2"/>
      </x:rPr>
      <x:t xml:space="preserve">출력 </x:t>
    </x:r>
    <x:r>
      <x:rPr>
        <x:sz val="10"/>
        <x:color rgb="FF243447"/>
        <x:rFont val="Arial"/>
      </x:rPr>
      <x:t xml:space="preserve">USD/100</x:t>
    </x:r>
    <x:r>
      <x:rPr>
        <x:sz val="10"/>
        <x:color rgb="FF243447"/>
        <x:rFont val="Linux Libertine G"/>
        <x:family val="2"/>
      </x:rPr>
      <x:t xml:space="preserve">만 토큰</x:t>
    </x:r>
  </x:si>
  <x:si>
    <x:r>
      <x:rPr>
        <x:sz val="10"/>
        <x:color rgb="FF243447"/>
        <x:rFont val="Arial"/>
      </x:rPr>
      <x:t xml:space="preserve">OpenRouter </x:t>
    </x:r>
    <x:r>
      <x:rPr>
        <x:sz val="10"/>
        <x:color rgb="FF243447"/>
        <x:rFont val="Linux Libertine G"/>
        <x:family val="2"/>
      </x:rPr>
      <x:t xml:space="preserve">충전 수수료</x:t>
    </x:r>
  </x:si>
  <x:si>
    <x:t xml:space="preserve">P5</x:t>
  </x:si>
  <x:si>
    <x:r>
      <x:rPr>
        <x:sz val="10"/>
        <x:color rgb="FF243447"/>
        <x:rFont val="Linux Libertine G"/>
        <x:family val="2"/>
      </x:rPr>
      <x:t xml:space="preserve">크레딧 구매 수수료를 </x:t>
    </x:r>
    <x:r>
      <x:rPr>
        <x:sz val="10"/>
        <x:color rgb="FF243447"/>
        <x:rFont val="Arial"/>
      </x:rPr>
      <x:t xml:space="preserve">API </x:t>
    </x:r>
    <x:r>
      <x:rPr>
        <x:sz val="10"/>
        <x:color rgb="FF243447"/>
        <x:rFont val="Linux Libertine G"/>
        <x:family val="2"/>
      </x:rPr>
      <x:t xml:space="preserve">소비액에 비례 배분</x:t>
    </x:r>
  </x:si>
  <x:si>
    <x:r>
      <x:rPr>
        <x:sz val="10"/>
        <x:color rgb="FF243447"/>
        <x:rFont val="Arial"/>
      </x:rPr>
      <x:t xml:space="preserve">USD/KRW </x:t>
    </x:r>
    <x:r>
      <x:rPr>
        <x:sz val="10"/>
        <x:color rgb="FF243447"/>
        <x:rFont val="Linux Libertine G"/>
        <x:family val="2"/>
      </x:rPr>
      <x:t xml:space="preserve">계획 환율</x:t>
    </x:r>
  </x:si>
  <x:si>
    <x:r>
      <x:rPr>
        <x:sz val="10"/>
        <x:color rgb="FF243447"/>
        <x:rFont val="Linux Libertine G"/>
        <x:family val="2"/>
      </x:rPr>
      <x:t xml:space="preserve">시장 실시간 환율 아님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환율 변동 민감도 조절</x:t>
    </x:r>
  </x:si>
  <x:si>
    <x:t xml:space="preserve">유료 비전 엔진 선택 비중</x:t>
  </x:si>
  <x:si>
    <x:r>
      <x:rPr>
        <x:sz val="10"/>
        <x:color rgb="FF243447"/>
        <x:rFont val="Linux Libertine G"/>
        <x:family val="2"/>
      </x:rPr>
      <x:t xml:space="preserve">별도 동의 및 프레임 전송 조건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기본 </x:t>
    </x:r>
    <x:r>
      <x:rPr>
        <x:sz val="10"/>
        <x:color rgb="FF243447"/>
        <x:rFont val="Arial"/>
      </x:rPr>
      <x:t xml:space="preserve">0</x:t>
    </x:r>
  </x:si>
  <x:si>
    <x:r>
      <x:rPr>
        <x:sz val="1000"/>
        <x:color rgb="FF243447"/>
        <x:rFont val="Linux Libertine G"/>
        <x:family val="2"/>
      </x:rPr>
      <x:t xml:space="preserve">비전 엔진 </x:t>
    </x:r>
    <x:r>
      <x:rPr>
        <x:sz val="1000"/>
        <x:color rgb="FF243447"/>
        <x:rFont val="Arial"/>
      </x:rPr>
      <x:t xml:space="preserve">1</x:t>
    </x:r>
    <x:r>
      <x:rPr>
        <x:sz val="1000"/>
        <x:color rgb="FF243447"/>
        <x:rFont val="Linux Libertine G"/>
        <x:family val="2"/>
      </x:rPr>
      <x:t xml:space="preserve">분당 원가</x:t>
    </x:r>
  </x:si>
  <x:si>
    <x:t xml:space="preserve">미측정</x:t>
  </x:si>
  <x:si>
    <x:r>
      <x:rPr>
        <x:sz val="1000"/>
        <x:color rgb="FF243447"/>
        <x:rFont val="Linux Libertine G"/>
        <x:family val="2"/>
      </x:rPr>
      <x:t xml:space="preserve">프레임</x:t>
    </x:r>
    <x:r>
      <x:rPr>
        <x:sz val="1000"/>
        <x:color rgb="FF243447"/>
        <x:rFont val="Arial"/>
      </x:rPr>
      <x:t xml:space="preserve">/</x:t>
    </x:r>
    <x:r>
      <x:rPr>
        <x:sz val="1000"/>
        <x:color rgb="FF243447"/>
        <x:rFont val="Linux Libertine G"/>
        <x:family val="2"/>
      </x:rPr>
      <x:t xml:space="preserve">토큰 실측 전에는 </x:t>
    </x:r>
    <x:r>
      <x:rPr>
        <x:sz val="1000"/>
        <x:color rgb="FF243447"/>
        <x:rFont val="Arial"/>
      </x:rPr>
      <x:t xml:space="preserve">0. </x:t>
    </x:r>
    <x:r>
      <x:rPr>
        <x:sz val="1000"/>
        <x:color rgb="FF243447"/>
        <x:rFont val="Linux Libertine G"/>
        <x:family val="2"/>
      </x:rPr>
      <x:t xml:space="preserve">원가가 누락될 수 있음</x:t>
    </x:r>
  </x:si>
  <x:si>
    <x:r>
      <x:rPr>
        <x:b/>
        <x:sz val="1000"/>
        <x:color rgb="FF17324D"/>
        <x:rFont val="Linux Libertine G"/>
        <x:family val="2"/>
      </x:rPr>
      <x:t xml:space="preserve">호스팅 </x:t>
    </x:r>
    <x:r>
      <x:rPr>
        <x:b/>
        <x:sz val="1000"/>
        <x:color rgb="FF17324D"/>
        <x:rFont val="Arial"/>
      </x:rPr>
      <x:t xml:space="preserve">· </x:t>
    </x:r>
    <x:r>
      <x:rPr>
        <x:b/>
        <x:sz val="1000"/>
        <x:color rgb="FF17324D"/>
        <x:rFont val="Linux Libertine G"/>
        <x:family val="2"/>
      </x:rPr>
      <x:t xml:space="preserve">결제 </x:t>
    </x:r>
    <x:r>
      <x:rPr>
        <x:b/>
        <x:sz val="1000"/>
        <x:color rgb="FF17324D"/>
        <x:rFont val="Arial"/>
      </x:rPr>
      <x:t xml:space="preserve">· </x:t>
    </x:r>
    <x:r>
      <x:rPr>
        <x:b/>
        <x:sz val="1000"/>
        <x:color rgb="FF17324D"/>
        <x:rFont val="Linux Libertine G"/>
        <x:family val="2"/>
      </x:rPr>
      <x:t xml:space="preserve">판관비 </x:t>
    </x:r>
    <x:r>
      <x:rPr>
        <x:b/>
        <x:sz val="1000"/>
        <x:color rgb="FF17324D"/>
        <x:rFont val="Arial"/>
      </x:rPr>
      <x:t xml:space="preserve">· </x:t>
    </x:r>
    <x:r>
      <x:rPr>
        <x:b/>
        <x:sz val="1000"/>
        <x:color rgb="FF17324D"/>
        <x:rFont val="Linux Libertine G"/>
        <x:family val="2"/>
      </x:rPr>
      <x:t xml:space="preserve">세금</x:t>
    </x:r>
  </x:si>
  <x:si>
    <x:r>
      <x:rPr>
        <x:sz val="1000"/>
        <x:color rgb="FF243447"/>
        <x:rFont val="Arial"/>
      </x:rPr>
      <x:t xml:space="preserve">Vercel Pro </x:t>
    </x:r>
    <x:r>
      <x:rPr>
        <x:sz val="1000"/>
        <x:color rgb="FF243447"/>
        <x:rFont val="Linux Libertine G"/>
        <x:family val="2"/>
      </x:rPr>
      <x:t xml:space="preserve">기본료</x:t>
    </x:r>
  </x:si>
  <x:si>
    <x:t xml:space="preserve">P1</x:t>
  </x:si>
  <x:si>
    <x:r>
      <x:rPr>
        <x:sz val="1000"/>
        <x:color rgb="FF243447"/>
        <x:rFont val="Linux Libertine G"/>
        <x:family val="2"/>
      </x:rPr>
      <x:t xml:space="preserve">월 </x:t>
    </x:r>
    <x:r>
      <x:rPr>
        <x:sz val="1000"/>
        <x:color rgb="FF243447"/>
        <x:rFont val="Arial"/>
      </x:rPr>
      <x:t xml:space="preserve">20</x:t>
    </x:r>
    <x:r>
      <x:rPr>
        <x:sz val="1000"/>
        <x:color rgb="FF243447"/>
        <x:rFont val="Linux Libertine G"/>
        <x:family val="2"/>
      </x:rPr>
      <x:t xml:space="preserve">달러 플랫폼 요금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사용량 크레딧 포함</x:t>
    </x:r>
  </x:si>
  <x:si>
    <x:r>
      <x:rPr>
        <x:sz val="1000"/>
        <x:color rgb="FF243447"/>
        <x:rFont val="Arial"/>
      </x:rPr>
      <x:t xml:space="preserve">Vercel </x:t>
    </x:r>
    <x:r>
      <x:rPr>
        <x:sz val="1000"/>
        <x:color rgb="FF243447"/>
        <x:rFont val="Linux Libertine G"/>
        <x:family val="2"/>
      </x:rPr>
      <x:t xml:space="preserve">기타 종량 비용</x:t>
    </x:r>
  </x:si>
  <x:si>
    <x:r>
      <x:rPr>
        <x:sz val="1000"/>
        <x:color rgb="FF243447"/>
        <x:rFont val="Linux Libertine G"/>
        <x:family val="2"/>
      </x:rPr>
      <x:t xml:space="preserve">월 </x:t>
    </x:r>
    <x:r>
      <x:rPr>
        <x:sz val="1000"/>
        <x:color rgb="FF243447"/>
        <x:rFont val="Arial"/>
      </x:rPr>
      <x:t xml:space="preserve">USD, Pro $20 </x:t>
    </x:r>
    <x:r>
      <x:rPr>
        <x:sz val="1000"/>
        <x:color rgb="FF243447"/>
        <x:rFont val="Linux Libertine G"/>
        <x:family val="2"/>
      </x:rPr>
      <x:t xml:space="preserve">사용량 크레딧 적용 전 추가 비용</x:t>
    </x:r>
  </x:si>
  <x:si>
    <x:r>
      <x:rPr>
        <x:sz val="1000"/>
        <x:color rgb="FF243447"/>
        <x:rFont val="Arial"/>
      </x:rPr>
      <x:t xml:space="preserve">Supabase Pro </x:t>
    </x:r>
    <x:r>
      <x:rPr>
        <x:sz val="1000"/>
        <x:color rgb="FF243447"/>
        <x:rFont val="Linux Libertine G"/>
        <x:family val="2"/>
      </x:rPr>
      <x:t xml:space="preserve">기본료</x:t>
    </x:r>
  </x:si>
  <x:si>
    <x:t xml:space="preserve">P2</x:t>
  </x:si>
  <x:si>
    <x:t xml:space="preserve">첫 프로젝트 기본료</x:t>
  </x:si>
  <x:si>
    <x:r>
      <x:rPr>
        <x:sz val="1000"/>
        <x:color rgb="FF243447"/>
        <x:rFont val="Arial"/>
      </x:rPr>
      <x:t xml:space="preserve">Supabase 10</x:t>
    </x:r>
    <x:r>
      <x:rPr>
        <x:sz val="1000"/>
        <x:color rgb="FF243447"/>
        <x:rFont val="Linux Libertine G"/>
        <x:family val="2"/>
      </x:rPr>
      <x:t xml:space="preserve">만 </x:t>
    </x:r>
    <x:r>
      <x:rPr>
        <x:sz val="1000"/>
        <x:color rgb="FF243447"/>
        <x:rFont val="Arial"/>
      </x:rPr>
      <x:t xml:space="preserve">MAU </x:t>
    </x:r>
    <x:r>
      <x:rPr>
        <x:sz val="1000"/>
        <x:color rgb="FF243447"/>
        <x:rFont val="Linux Libertine G"/>
        <x:family val="2"/>
      </x:rPr>
      <x:t xml:space="preserve">초과 단가</x:t>
    </x:r>
  </x:si>
  <x:si>
    <x:r>
      <x:rPr>
        <x:sz val="1000"/>
        <x:color rgb="FF243447"/>
        <x:rFont val="Linux Libertine G"/>
        <x:family val="2"/>
      </x:rPr>
      <x:t xml:space="preserve">활성 사용자 수에 적용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기타 초과는 별도</x:t>
    </x:r>
  </x:si>
  <x:si>
    <x:r>
      <x:rPr>
        <x:sz val="1000"/>
        <x:color rgb="FF243447"/>
        <x:rFont val="Arial"/>
      </x:rPr>
      <x:t xml:space="preserve">Supabase </x:t>
    </x:r>
    <x:r>
      <x:rPr>
        <x:sz val="1000"/>
        <x:color rgb="FF243447"/>
        <x:rFont val="Linux Libertine G"/>
        <x:family val="2"/>
      </x:rPr>
      <x:t xml:space="preserve">기타 초과 사용료</x:t>
    </x:r>
  </x:si>
  <x:si>
    <x:r>
      <x:rPr>
        <x:sz val="1000"/>
        <x:color rgb="FF243447"/>
        <x:rFont val="Linux Libertine G"/>
        <x:family val="2"/>
      </x:rPr>
      <x:t xml:space="preserve">월 </x:t>
    </x:r>
    <x:r>
      <x:rPr>
        <x:sz val="1000"/>
        <x:color rgb="FF243447"/>
        <x:rFont val="Arial"/>
      </x:rPr>
      <x:t xml:space="preserve">USD, </x:t>
    </x:r>
    <x:r>
      <x:rPr>
        <x:sz val="1000"/>
        <x:color rgb="FF243447"/>
        <x:rFont val="Linux Libertine G"/>
        <x:family val="2"/>
      </x:rPr>
      <x:t xml:space="preserve">아래 자동 계산 항목 외의 실청구 비용</x:t>
    </x:r>
  </x:si>
  <x:si>
    <x:t xml:space="preserve">카드 결제 비율 수수료</x:t>
  </x:si>
  <x:si>
    <x:t xml:space="preserve">참고 단가</x:t>
  </x:si>
  <x:si>
    <x:t xml:space="preserve">P6</x:t>
  </x:si>
  <x:si>
    <x:r>
      <x:rPr>
        <x:sz val="1000"/>
        <x:color rgb="FF243447"/>
        <x:rFont val="Linux Libertine G"/>
        <x:family val="2"/>
      </x:rPr>
      <x:t xml:space="preserve">토스 일반카드 요율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구독 자동결제 계약 시 확인</x:t>
    </x:r>
  </x:si>
  <x:si>
    <x:r>
      <x:rPr>
        <x:sz val="1000"/>
        <x:color rgb="FF243447"/>
        <x:rFont val="Arial"/>
      </x:rPr>
      <x:t xml:space="preserve">PG </x:t>
    </x:r>
    <x:r>
      <x:rPr>
        <x:sz val="1000"/>
        <x:color rgb="FF243447"/>
        <x:rFont val="Linux Libertine G"/>
        <x:family val="2"/>
      </x:rPr>
      <x:t xml:space="preserve">가입비</x:t>
    </x:r>
  </x:si>
  <x:si>
    <x:r>
      <x:rPr>
        <x:sz val="1000"/>
        <x:color rgb="FF243447"/>
        <x:rFont val="Linux Libertine G"/>
        <x:family val="2"/>
      </x:rPr>
      <x:t xml:space="preserve">첫 달 </x:t>
    </x:r>
    <x:r>
      <x:rPr>
        <x:sz val="1000"/>
        <x:color rgb="FF243447"/>
        <x:rFont val="Arial"/>
      </x:rPr>
      <x:t xml:space="preserve">1</x:t>
    </x:r>
    <x:r>
      <x:rPr>
        <x:sz val="1000"/>
        <x:color rgb="FF243447"/>
        <x:rFont val="Linux Libertine G"/>
        <x:family val="2"/>
      </x:rPr>
      <x:t xml:space="preserve">회 반영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계약별 변경 가능</x:t>
    </x:r>
  </x:si>
  <x:si>
    <x:r>
      <x:rPr>
        <x:sz val="1000"/>
        <x:color rgb="FF243447"/>
        <x:rFont val="Arial"/>
      </x:rPr>
      <x:t xml:space="preserve">PG </x:t>
    </x:r>
    <x:r>
      <x:rPr>
        <x:sz val="1000"/>
        <x:color rgb="FF243447"/>
        <x:rFont val="Linux Libertine G"/>
        <x:family val="2"/>
      </x:rPr>
      <x:t xml:space="preserve">연관리비</x:t>
    </x:r>
  </x:si>
  <x:si>
    <x:r>
      <x:rPr>
        <x:sz val="1000"/>
        <x:color rgb="FF243447"/>
        <x:rFont val="Arial"/>
      </x:rPr>
      <x:t xml:space="preserve">1</x:t>
    </x:r>
    <x:r>
      <x:rPr>
        <x:sz val="1000"/>
        <x:color rgb="FF243447"/>
        <x:rFont val="Linux Libertine G"/>
        <x:family val="2"/>
      </x:rPr>
      <x:t xml:space="preserve">개월과 </x:t>
    </x:r>
    <x:r>
      <x:rPr>
        <x:sz val="1000"/>
        <x:color rgb="FF243447"/>
        <x:rFont val="Arial"/>
      </x:rPr>
      <x:t xml:space="preserve">13</x:t>
    </x:r>
    <x:r>
      <x:rPr>
        <x:sz val="1000"/>
        <x:color rgb="FF243447"/>
        <x:rFont val="Linux Libertine G"/>
        <x:family val="2"/>
      </x:rPr>
      <x:t xml:space="preserve">개월 반영</x:t>
    </x:r>
  </x:si>
  <x:si>
    <x:t xml:space="preserve">활성 계정당 월 지원 비용</x:t>
  </x:si>
  <x:si>
    <x:r>
      <x:rPr>
        <x:sz val="1000"/>
        <x:color rgb="FF243447"/>
        <x:rFont val="Linux Libertine G"/>
        <x:family val="2"/>
      </x:rPr>
      <x:t xml:space="preserve">인원 수 증가에 따른 지원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운영 변동비</x:t>
    </x:r>
  </x:si>
  <x:si>
    <x:t xml:space="preserve">월 마케팅비</x:t>
  </x:si>
  <x:si>
    <x:r>
      <x:rPr>
        <x:sz val="1000"/>
        <x:color rgb="FF243447"/>
        <x:rFont val="Linux Libertine G"/>
        <x:family val="2"/>
      </x:rPr>
      <x:t xml:space="preserve">유료 광고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콘텐츠 제작 등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오가닉과 비용 혼동 금지</x:t>
    </x:r>
  </x:si>
  <x:si>
    <x:r>
      <x:rPr>
        <x:sz val="1000"/>
        <x:color rgb="FF243447"/>
        <x:rFont val="Linux Libertine G"/>
        <x:family val="2"/>
      </x:rPr>
      <x:t xml:space="preserve">월 인건비 </x:t>
    </x:r>
    <x:r>
      <x:rPr>
        <x:sz val="1000"/>
        <x:color rgb="FF243447"/>
        <x:rFont val="Arial"/>
      </x:rPr>
      <x:t xml:space="preserve">(</x:t>
    </x:r>
    <x:r>
      <x:rPr>
        <x:sz val="1000"/>
        <x:color rgb="FF243447"/>
        <x:rFont val="Linux Libertine G"/>
        <x:family val="2"/>
      </x:rPr>
      <x:t xml:space="preserve">직원 없음</x:t>
    </x:r>
    <x:r>
      <x:rPr>
        <x:sz val="1000"/>
        <x:color rgb="FF243447"/>
        <x:rFont val="Arial"/>
      </x:rPr>
      <x:t xml:space="preserve">)</x:t>
    </x:r>
  </x:si>
  <x:si>
    <x:r>
      <x:rPr>
        <x:sz val="1000"/>
        <x:color rgb="FF243447"/>
        <x:rFont val="Linux Libertine G"/>
        <x:family val="2"/>
      </x:rPr>
      <x:t xml:space="preserve">현재 직원 </x:t>
    </x:r>
    <x:r>
      <x:rPr>
        <x:sz val="1000"/>
        <x:color rgb="FF243447"/>
        <x:rFont val="Arial"/>
      </x:rPr>
      <x:t xml:space="preserve">0</x:t>
    </x:r>
    <x:r>
      <x:rPr>
        <x:sz val="1000"/>
        <x:color rgb="FF243447"/>
        <x:rFont val="Linux Libertine G"/>
        <x:family val="2"/>
      </x:rPr>
      <x:t xml:space="preserve">명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채용 계획이 생기면 비용 입력</x:t>
    </x:r>
  </x:si>
  <x:si>
    <x:t xml:space="preserve">기타 월 판관비</x:t>
  </x:si>
  <x:si>
    <x:r>
      <x:rPr>
        <x:sz val="1000"/>
        <x:color rgb="FF243447"/>
        <x:rFont val="Linux Libertine G"/>
        <x:family val="2"/>
      </x:rPr>
      <x:t xml:space="preserve">법무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소프트웨어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운영비</x:t>
    </x:r>
  </x:si>
  <x:si>
    <x:t xml:space="preserve">소비자 가격 포함 부가세율</x:t>
  </x:si>
  <x:si>
    <x:t xml:space="preserve">공식 세율</x:t>
  </x:si>
  <x:si>
    <x:t xml:space="preserve">P7</x:t>
  </x:si>
  <x:si>
    <x:t xml:space="preserve">매출을 공급가액과 부가세로 분리</x:t>
  </x:si>
  <x:si>
    <x:t xml:space="preserve">법인세 추정률</x:t>
  </x:si>
  <x:si>
    <x:t xml:space="preserve">단순화</x:t>
  </x:si>
  <x:si>
    <x:t xml:space="preserve">P8</x:t>
  </x:si>
  <x:si>
    <x:r>
      <x:rPr>
        <x:sz val="1000"/>
        <x:color rgb="FF243447"/>
        <x:rFont val="Arial"/>
      </x:rPr>
      <x:t xml:space="preserve">2</x:t>
    </x:r>
    <x:r>
      <x:rPr>
        <x:sz val="1000"/>
        <x:color rgb="FF243447"/>
        <x:rFont val="Linux Libertine G"/>
        <x:family val="2"/>
      </x:rPr>
      <x:t xml:space="preserve">억원 이하 구간 예시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월 손실이월 단순 근사</x:t>
    </x:r>
  </x:si>
  <x:si>
    <x:r>
      <x:rPr>
        <x:b/>
        <x:sz val="1000"/>
        <x:color rgb="FFFFFFFF"/>
        <x:rFont val="Linux Libertine G"/>
        <x:family val="2"/>
      </x:rPr>
      <x:t xml:space="preserve">추천 기간 </x:t>
    </x:r>
    <x:r>
      <x:rPr>
        <x:b/>
        <x:sz val="1000"/>
        <x:color rgb="FFFFFFFF"/>
        <x:rFont val="Arial"/>
      </x:rPr>
      <x:t xml:space="preserve">· </x:t>
    </x:r>
    <x:r>
      <x:rPr>
        <x:b/>
        <x:sz val="1000"/>
        <x:color rgb="FFFFFFFF"/>
        <x:rFont val="Linux Libertine G"/>
        <x:family val="2"/>
      </x:rPr>
      <x:t xml:space="preserve">인프라 사용량 레버</x:t>
    </x:r>
  </x:si>
  <x:si>
    <x:t xml:space="preserve">추천 캠페인 운영 개월</x:t>
  </x:si>
  <x:si>
    <x:t xml:space="preserve">사용자 조건</x:t>
  </x:si>
  <x:si>
    <x:r>
      <x:rPr>
        <x:sz val="1000"/>
        <x:color rgb="FF243447"/>
        <x:rFont val="Arial"/>
      </x:rPr>
      <x:t xml:space="preserve">M1~M2</x:t>
    </x:r>
    <x:r>
      <x:rPr>
        <x:sz val="1000"/>
        <x:color rgb="FF243447"/>
        <x:rFont val="Linux Libertine G"/>
        <x:family val="2"/>
      </x:rPr>
      <x:t xml:space="preserve">만 신규 추천 유입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보상 자격 발생</x:t>
    </x:r>
  </x:si>
  <x:si>
    <x:r>
      <x:rPr>
        <x:sz val="1000"/>
        <x:color rgb="FF243447"/>
        <x:rFont val="Arial"/>
      </x:rPr>
      <x:t xml:space="preserve">Vercel Hobby </x:t>
    </x:r>
    <x:r>
      <x:rPr>
        <x:sz val="1000"/>
        <x:color rgb="FF243447"/>
        <x:rFont val="Linux Libertine G"/>
        <x:family val="2"/>
      </x:rPr>
      <x:t xml:space="preserve">사용 자격 </x:t>
    </x:r>
    <x:r>
      <x:rPr>
        <x:sz val="1000"/>
        <x:color rgb="FF243447"/>
        <x:rFont val="Arial"/>
      </x:rPr>
      <x:t xml:space="preserve">(0=</x:t>
    </x:r>
    <x:r>
      <x:rPr>
        <x:sz val="1000"/>
        <x:color rgb="FF243447"/>
        <x:rFont val="Linux Libertine G"/>
        <x:family val="2"/>
      </x:rPr>
      <x:t xml:space="preserve">상업</x:t>
    </x:r>
    <x:r>
      <x:rPr>
        <x:sz val="1000"/>
        <x:color rgb="FF243447"/>
        <x:rFont val="Arial"/>
      </x:rPr>
      <x:t xml:space="preserve">, 1=</x:t>
    </x:r>
    <x:r>
      <x:rPr>
        <x:sz val="1000"/>
        <x:color rgb="FF243447"/>
        <x:rFont val="Linux Libertine G"/>
        <x:family val="2"/>
      </x:rPr>
      <x:t xml:space="preserve">비상업</x:t>
    </x:r>
    <x:r>
      <x:rPr>
        <x:sz val="1000"/>
        <x:color rgb="FF243447"/>
        <x:rFont val="Arial"/>
      </x:rPr>
      <x:t xml:space="preserve">)</x:t>
    </x:r>
  </x:si>
  <x:si>
    <x:t xml:space="preserve">0/1</x:t>
  </x:si>
  <x:si>
    <x:t xml:space="preserve">공식 약관</x:t>
  </x:si>
  <x:si>
    <x:r>
      <x:rPr>
        <x:sz val="1000"/>
        <x:color rgb="FF243447"/>
        <x:rFont val="Linux Libertine G"/>
        <x:family val="2"/>
      </x:rPr>
      <x:t xml:space="preserve">상업 서비스 기본값 </x:t>
    </x:r>
    <x:r>
      <x:rPr>
        <x:sz val="1000"/>
        <x:color rgb="FF243447"/>
        <x:rFont val="Arial"/>
      </x:rPr>
      <x:t xml:space="preserve">0: </x:t>
    </x:r>
    <x:r>
      <x:rPr>
        <x:sz val="1000"/>
        <x:color rgb="FF243447"/>
        <x:rFont val="Linux Libertine G"/>
        <x:family val="2"/>
      </x:rPr>
      <x:t xml:space="preserve">첫달부터 </x:t>
    </x:r>
    <x:r>
      <x:rPr>
        <x:sz val="1000"/>
        <x:color rgb="FF243447"/>
        <x:rFont val="Arial"/>
      </x:rPr>
      <x:t xml:space="preserve">Pro</x:t>
    </x:r>
  </x:si>
  <x:si>
    <x:t xml:space="preserve">방문자 → 신규 가입률</x:t>
  </x:si>
  <x:si>
    <x:r>
      <x:rPr>
        <x:sz val="1000"/>
        <x:color rgb="FF243447"/>
        <x:rFont val="Linux Libertine G"/>
        <x:family val="2"/>
      </x:rPr>
      <x:t xml:space="preserve">유입 채널 통합 근사</x:t>
    </x:r>
    <x:r>
      <x:rPr>
        <x:sz val="1000"/>
        <x:color rgb="FF243447"/>
        <x:rFont val="Arial"/>
      </x:rPr>
      <x:t xml:space="preserve">. </x:t>
    </x:r>
    <x:r>
      <x:rPr>
        <x:sz val="1000"/>
        <x:color rgb="FF243447"/>
        <x:rFont val="Linux Libertine G"/>
        <x:family val="2"/>
      </x:rPr>
      <x:t xml:space="preserve">분석 도구 실측값으로 교체</x:t>
    </x:r>
  </x:si>
  <x:si>
    <x:r>
      <x:rPr>
        <x:sz val="1000"/>
        <x:color rgb="FF243447"/>
        <x:rFont val="Linux Libertine G"/>
        <x:family val="2"/>
      </x:rPr>
      <x:t xml:space="preserve">방문자당 </x:t>
    </x:r>
    <x:r>
      <x:rPr>
        <x:sz val="1000"/>
        <x:color rgb="FF243447"/>
        <x:rFont val="Arial"/>
      </x:rPr>
      <x:t xml:space="preserve">Edge </x:t>
    </x:r>
    <x:r>
      <x:rPr>
        <x:sz val="1000"/>
        <x:color rgb="FF243447"/>
        <x:rFont val="Linux Libertine G"/>
        <x:family val="2"/>
      </x:rPr>
      <x:t xml:space="preserve">요청</x:t>
    </x:r>
  </x:si>
  <x:si>
    <x:t xml:space="preserve">회</x:t>
  </x:si>
  <x:si>
    <x:t xml:space="preserve">랜딩 웹 요청 수</x:t>
  </x:si>
  <x:si>
    <x:r>
      <x:rPr>
        <x:sz val="1000"/>
        <x:color rgb="FF243447"/>
        <x:rFont val="Linux Libertine G"/>
        <x:family val="2"/>
      </x:rPr>
      <x:t xml:space="preserve">방문자당 </x:t>
    </x:r>
    <x:r>
      <x:rPr>
        <x:sz val="1000"/>
        <x:color rgb="FF243447"/>
        <x:rFont val="Arial"/>
      </x:rPr>
      <x:t xml:space="preserve">Vercel </x:t>
    </x:r>
    <x:r>
      <x:rPr>
        <x:sz val="1000"/>
        <x:color rgb="FF243447"/>
        <x:rFont val="Linux Libertine G"/>
        <x:family val="2"/>
      </x:rPr>
      <x:t xml:space="preserve">전송량</x:t>
    </x:r>
  </x:si>
  <x:si>
    <x:t xml:space="preserve">MB</x:t>
  </x:si>
  <x:si>
    <x:r>
      <x:rPr>
        <x:sz val="1000"/>
        <x:color rgb="FF243447"/>
        <x:rFont val="Linux Libertine G"/>
        <x:family val="2"/>
      </x:rPr>
      <x:t xml:space="preserve">이미지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스크립트 포함 랜딩 전송량</x:t>
    </x:r>
  </x:si>
  <x:si>
    <x:r>
      <x:rPr>
        <x:sz val="1000"/>
        <x:color rgb="FF243447"/>
        <x:rFont val="Arial"/>
      </x:rPr>
      <x:t xml:space="preserve">Vercel Pro </x:t>
    </x:r>
    <x:r>
      <x:rPr>
        <x:sz val="1000"/>
        <x:color rgb="FF243447"/>
        <x:rFont val="Linux Libertine G"/>
        <x:family val="2"/>
      </x:rPr>
      <x:t xml:space="preserve">포함 전송량</x:t>
    </x:r>
  </x:si>
  <x:si>
    <x:t xml:space="preserve">GB</x:t>
  </x:si>
  <x:si>
    <x:r>
      <x:rPr>
        <x:sz val="1000"/>
        <x:color rgb="FF243447"/>
        <x:rFont val="Arial"/>
      </x:rPr>
      <x:t xml:space="preserve">1 TB / </x:t>
    </x:r>
    <x:r>
      <x:rPr>
        <x:sz val="1000"/>
        <x:color rgb="FF243447"/>
        <x:rFont val="Linux Libertine G"/>
        <x:family val="2"/>
      </x:rPr>
      <x:t xml:space="preserve">월 근사</x:t>
    </x:r>
  </x:si>
  <x:si>
    <x:r>
      <x:rPr>
        <x:sz val="1000"/>
        <x:color rgb="FF243447"/>
        <x:rFont val="Arial"/>
      </x:rPr>
      <x:t xml:space="preserve">Vercel Pro </x:t>
    </x:r>
    <x:r>
      <x:rPr>
        <x:sz val="1000"/>
        <x:color rgb="FF243447"/>
        <x:rFont val="Linux Libertine G"/>
        <x:family val="2"/>
      </x:rPr>
      <x:t xml:space="preserve">포함 </x:t>
    </x:r>
    <x:r>
      <x:rPr>
        <x:sz val="1000"/>
        <x:color rgb="FF243447"/>
        <x:rFont val="Arial"/>
      </x:rPr>
      <x:t xml:space="preserve">Edge </x:t>
    </x:r>
    <x:r>
      <x:rPr>
        <x:sz val="1000"/>
        <x:color rgb="FF243447"/>
        <x:rFont val="Linux Libertine G"/>
        <x:family val="2"/>
      </x:rPr>
      <x:t xml:space="preserve">요청</x:t>
    </x:r>
  </x:si>
  <x:si>
    <x:r>
      <x:rPr>
        <x:sz val="1000"/>
        <x:color rgb="FF243447"/>
        <x:rFont val="Linux Libertine G"/>
        <x:family val="2"/>
      </x:rPr>
      <x:t xml:space="preserve">월 </x:t>
    </x:r>
    <x:r>
      <x:rPr>
        <x:sz val="1000"/>
        <x:color rgb="FF243447"/>
        <x:rFont val="Arial"/>
      </x:rPr>
      <x:t xml:space="preserve">1</x:t>
    </x:r>
    <x:r>
      <x:rPr>
        <x:sz val="1000"/>
        <x:color rgb="FF243447"/>
        <x:rFont val="Linux Libertine G"/>
        <x:family val="2"/>
      </x:rPr>
      <x:t xml:space="preserve">천만 건</x:t>
    </x:r>
  </x:si>
  <x:si>
    <x:r>
      <x:rPr>
        <x:sz val="1000"/>
        <x:color rgb="FF243447"/>
        <x:rFont val="Arial"/>
      </x:rPr>
      <x:t xml:space="preserve">Vercel </x:t>
    </x:r>
    <x:r>
      <x:rPr>
        <x:sz val="1000"/>
        <x:color rgb="FF243447"/>
        <x:rFont val="Linux Libertine G"/>
        <x:family val="2"/>
      </x:rPr>
      <x:t xml:space="preserve">초과 전송 단가</x:t>
    </x:r>
  </x:si>
  <x:si>
    <x:t xml:space="preserve">USD/GB</x:t>
  </x:si>
  <x:si>
    <x:t xml:space="preserve">서울 지역 상한 단가로 보수적 근사</x:t>
  </x:si>
  <x:si>
    <x:r>
      <x:rPr>
        <x:sz val="1000"/>
        <x:color rgb="FF243447"/>
        <x:rFont val="Arial"/>
      </x:rPr>
      <x:t xml:space="preserve">Vercel </x:t>
    </x:r>
    <x:r>
      <x:rPr>
        <x:sz val="1000"/>
        <x:color rgb="FF243447"/>
        <x:rFont val="Linux Libertine G"/>
        <x:family val="2"/>
      </x:rPr>
      <x:t xml:space="preserve">초과 </x:t>
    </x:r>
    <x:r>
      <x:rPr>
        <x:sz val="1000"/>
        <x:color rgb="FF243447"/>
        <x:rFont val="Arial"/>
      </x:rPr>
      <x:t xml:space="preserve">Edge </x:t>
    </x:r>
    <x:r>
      <x:rPr>
        <x:sz val="1000"/>
        <x:color rgb="FF243447"/>
        <x:rFont val="Linux Libertine G"/>
        <x:family val="2"/>
      </x:rPr>
      <x:t xml:space="preserve">요청 단가</x:t>
    </x:r>
  </x:si>
  <x:si>
    <x:r>
      <x:rPr>
        <x:sz val="1000"/>
        <x:color rgb="FF243447"/>
        <x:rFont val="Arial"/>
      </x:rPr>
      <x:t xml:space="preserve">USD/</x:t>
    </x:r>
    <x:r>
      <x:rPr>
        <x:sz val="1000"/>
        <x:color rgb="FF243447"/>
        <x:rFont val="Linux Libertine G"/>
        <x:family val="2"/>
      </x:rPr>
      <x:t xml:space="preserve">백만건</x:t>
    </x:r>
  </x:si>
  <x:si>
    <x:r>
      <x:rPr>
        <x:sz val="1000"/>
        <x:color rgb="FF243447"/>
        <x:rFont val="Arial"/>
      </x:rPr>
      <x:t xml:space="preserve">Vercel Hobby </x:t>
    </x:r>
    <x:r>
      <x:rPr>
        <x:sz val="1000"/>
        <x:color rgb="FF243447"/>
        <x:rFont val="Linux Libertine G"/>
        <x:family val="2"/>
      </x:rPr>
      <x:t xml:space="preserve">포함 전송량</x:t>
    </x:r>
  </x:si>
  <x:si>
    <x:t xml:space="preserve">비상업 파일럿에서만 적용</x:t>
  </x:si>
  <x:si>
    <x:r>
      <x:rPr>
        <x:sz val="1000"/>
        <x:color rgb="FF243447"/>
        <x:rFont val="Arial"/>
      </x:rPr>
      <x:t xml:space="preserve">Vercel Hobby </x:t>
    </x:r>
    <x:r>
      <x:rPr>
        <x:sz val="1000"/>
        <x:color rgb="FF243447"/>
        <x:rFont val="Linux Libertine G"/>
        <x:family val="2"/>
      </x:rPr>
      <x:t xml:space="preserve">포함 </x:t>
    </x:r>
    <x:r>
      <x:rPr>
        <x:sz val="1000"/>
        <x:color rgb="FF243447"/>
        <x:rFont val="Arial"/>
      </x:rPr>
      <x:t xml:space="preserve">Edge </x:t>
    </x:r>
    <x:r>
      <x:rPr>
        <x:sz val="1000"/>
        <x:color rgb="FF243447"/>
        <x:rFont val="Linux Libertine G"/>
        <x:family val="2"/>
      </x:rPr>
      <x:t xml:space="preserve">요청</x:t>
    </x:r>
  </x:si>
  <x:si>
    <x:r>
      <x:rPr>
        <x:sz val="1000"/>
        <x:color rgb="FF243447"/>
        <x:rFont val="Arial"/>
      </x:rPr>
      <x:t xml:space="preserve">Supabase Free </x:t>
    </x:r>
    <x:r>
      <x:rPr>
        <x:sz val="1000"/>
        <x:color rgb="FF243447"/>
        <x:rFont val="Linux Libertine G"/>
        <x:family val="2"/>
      </x:rPr>
      <x:t xml:space="preserve">포함 </x:t>
    </x:r>
    <x:r>
      <x:rPr>
        <x:sz val="1000"/>
        <x:color rgb="FF243447"/>
        <x:rFont val="Arial"/>
      </x:rPr>
      <x:t xml:space="preserve">MAU</x:t>
    </x:r>
  </x:si>
  <x:si>
    <x:t xml:space="preserve">월 활성 계정 한도</x:t>
  </x:si>
  <x:si>
    <x:r>
      <x:rPr>
        <x:sz val="1000"/>
        <x:color rgb="FF243447"/>
        <x:rFont val="Arial"/>
      </x:rPr>
      <x:t xml:space="preserve">Supabase Free </x:t>
    </x:r>
    <x:r>
      <x:rPr>
        <x:sz val="1000"/>
        <x:color rgb="FF243447"/>
        <x:rFont val="Linux Libertine G"/>
        <x:family val="2"/>
      </x:rPr>
      <x:t xml:space="preserve">포함 </x:t>
    </x:r>
    <x:r>
      <x:rPr>
        <x:sz val="1000"/>
        <x:color rgb="FF243447"/>
        <x:rFont val="Arial"/>
      </x:rPr>
      <x:t xml:space="preserve">DB</x:t>
    </x:r>
  </x:si>
  <x:si>
    <x:t xml:space="preserve">500 MB</x:t>
  </x:si>
  <x:si>
    <x:r>
      <x:rPr>
        <x:sz val="1000"/>
        <x:color rgb="FF243447"/>
        <x:rFont val="Arial"/>
      </x:rPr>
      <x:t xml:space="preserve">Supabase Free </x:t>
    </x:r>
    <x:r>
      <x:rPr>
        <x:sz val="1000"/>
        <x:color rgb="FF243447"/>
        <x:rFont val="Linux Libertine G"/>
        <x:family val="2"/>
      </x:rPr>
      <x:t xml:space="preserve">포함 전송량</x:t>
    </x:r>
  </x:si>
  <x:si>
    <x:r>
      <x:rPr>
        <x:sz val="1000"/>
        <x:color rgb="FF243447"/>
        <x:rFont val="Linux Libertine G"/>
        <x:family val="2"/>
      </x:rPr>
      <x:t xml:space="preserve">월 </x:t>
    </x:r>
    <x:r>
      <x:rPr>
        <x:sz val="1000"/>
        <x:color rgb="FF243447"/>
        <x:rFont val="Arial"/>
      </x:rPr>
      <x:t xml:space="preserve">egress</x:t>
    </x:r>
  </x:si>
  <x:si>
    <x:r>
      <x:rPr>
        <x:sz val="1000"/>
        <x:color rgb="FF243447"/>
        <x:rFont val="Arial"/>
      </x:rPr>
      <x:t xml:space="preserve">Supabase Free </x:t>
    </x:r>
    <x:r>
      <x:rPr>
        <x:sz val="1000"/>
        <x:color rgb="FF243447"/>
        <x:rFont val="Linux Libertine G"/>
        <x:family val="2"/>
      </x:rPr>
      <x:t xml:space="preserve">포함 저장공간</x:t>
    </x:r>
  </x:si>
  <x:si>
    <x:r>
      <x:rPr>
        <x:sz val="1000"/>
        <x:color rgb="FF243447"/>
        <x:rFont val="Arial"/>
      </x:rPr>
      <x:t xml:space="preserve">Storage </x:t>
    </x:r>
    <x:r>
      <x:rPr>
        <x:sz val="1000"/>
        <x:color rgb="FF243447"/>
        <x:rFont val="Linux Libertine G"/>
        <x:family val="2"/>
      </x:rPr>
      <x:t xml:space="preserve">파일</x:t>
    </x:r>
  </x:si>
  <x:si>
    <x:r>
      <x:rPr>
        <x:sz val="1000"/>
        <x:color rgb="FF243447"/>
        <x:rFont val="Arial"/>
      </x:rPr>
      <x:t xml:space="preserve">Supabase Pro </x:t>
    </x:r>
    <x:r>
      <x:rPr>
        <x:sz val="1000"/>
        <x:color rgb="FF243447"/>
        <x:rFont val="Linux Libertine G"/>
        <x:family val="2"/>
      </x:rPr>
      <x:t xml:space="preserve">포함 </x:t>
    </x:r>
    <x:r>
      <x:rPr>
        <x:sz val="1000"/>
        <x:color rgb="FF243447"/>
        <x:rFont val="Arial"/>
      </x:rPr>
      <x:t xml:space="preserve">MAU</x:t>
    </x:r>
  </x:si>
  <x:si>
    <x:t xml:space="preserve">월 활성 계정</x:t>
  </x:si>
  <x:si>
    <x:r>
      <x:rPr>
        <x:sz val="1000"/>
        <x:color rgb="FF243447"/>
        <x:rFont val="Arial"/>
      </x:rPr>
      <x:t xml:space="preserve">Supabase Pro </x:t>
    </x:r>
    <x:r>
      <x:rPr>
        <x:sz val="1000"/>
        <x:color rgb="FF243447"/>
        <x:rFont val="Linux Libertine G"/>
        <x:family val="2"/>
      </x:rPr>
      <x:t xml:space="preserve">포함 </x:t>
    </x:r>
    <x:r>
      <x:rPr>
        <x:sz val="1000"/>
        <x:color rgb="FF243447"/>
        <x:rFont val="Arial"/>
      </x:rPr>
      <x:t xml:space="preserve">DB</x:t>
    </x:r>
  </x:si>
  <x:si>
    <x:r>
      <x:rPr>
        <x:sz val="1000"/>
        <x:color rgb="FF243447"/>
        <x:rFont val="Arial"/>
      </x:rPr>
      <x:t xml:space="preserve">DB </x:t>
    </x:r>
    <x:r>
      <x:rPr>
        <x:sz val="1000"/>
        <x:color rgb="FF243447"/>
        <x:rFont val="Linux Libertine G"/>
        <x:family val="2"/>
      </x:rPr>
      <x:t xml:space="preserve">초과는 종량</x:t>
    </x:r>
  </x:si>
  <x:si>
    <x:r>
      <x:rPr>
        <x:sz val="1000"/>
        <x:color rgb="FF243447"/>
        <x:rFont val="Arial"/>
      </x:rPr>
      <x:t xml:space="preserve">Supabase Pro </x:t>
    </x:r>
    <x:r>
      <x:rPr>
        <x:sz val="1000"/>
        <x:color rgb="FF243447"/>
        <x:rFont val="Linux Libertine G"/>
        <x:family val="2"/>
      </x:rPr>
      <x:t xml:space="preserve">포함 전송량</x:t>
    </x:r>
  </x:si>
  <x:si>
    <x:r>
      <x:rPr>
        <x:sz val="1000"/>
        <x:color rgb="FF243447"/>
        <x:rFont val="Arial"/>
      </x:rPr>
      <x:t xml:space="preserve">Supabase Pro </x:t>
    </x:r>
    <x:r>
      <x:rPr>
        <x:sz val="1000"/>
        <x:color rgb="FF243447"/>
        <x:rFont val="Linux Libertine G"/>
        <x:family val="2"/>
      </x:rPr>
      <x:t xml:space="preserve">포함 저장공간</x:t>
    </x:r>
  </x:si>
  <x:si>
    <x:r>
      <x:rPr>
        <x:sz val="1000"/>
        <x:color rgb="FF243447"/>
        <x:rFont val="Linux Libertine G"/>
        <x:family val="2"/>
      </x:rPr>
      <x:t xml:space="preserve">가입 계정당 </x:t>
    </x:r>
    <x:r>
      <x:rPr>
        <x:sz val="1000"/>
        <x:color rgb="FF243447"/>
        <x:rFont val="Arial"/>
      </x:rPr>
      <x:t xml:space="preserve">DB </x:t>
    </x:r>
    <x:r>
      <x:rPr>
        <x:sz val="1000"/>
        <x:color rgb="FF243447"/>
        <x:rFont val="Linux Libertine G"/>
        <x:family val="2"/>
      </x:rPr>
      <x:t xml:space="preserve">용량</x:t>
    </x:r>
  </x:si>
  <x:si>
    <x:r>
      <x:rPr>
        <x:sz val="1000"/>
        <x:color rgb="FF243447"/>
        <x:rFont val="Linux Libertine G"/>
        <x:family val="2"/>
      </x:rPr>
      <x:t xml:space="preserve">메타데이터</x:t>
    </x:r>
    <x:r>
      <x:rPr>
        <x:sz val="1000"/>
        <x:color rgb="FF243447"/>
        <x:rFont val="Arial"/>
      </x:rPr>
      <x:t xml:space="preserve">·</x:t>
    </x:r>
    <x:r>
      <x:rPr>
        <x:sz val="1000"/>
        <x:color rgb="FF243447"/>
        <x:rFont val="Linux Libertine G"/>
        <x:family val="2"/>
      </x:rPr>
      <x:t xml:space="preserve">암호문만</x:t>
    </x:r>
    <x:r>
      <x:rPr>
        <x:sz val="1000"/>
        <x:color rgb="FF243447"/>
        <x:rFont val="Arial"/>
      </x:rPr>
      <x:t xml:space="preserve">; </x:t>
    </x:r>
    <x:r>
      <x:rPr>
        <x:sz val="1000"/>
        <x:color rgb="FF243447"/>
        <x:rFont val="Linux Libertine G"/>
        <x:family val="2"/>
      </x:rPr>
      <x:t xml:space="preserve">실제 </x:t>
    </x:r>
    <x:r>
      <x:rPr>
        <x:sz val="1000"/>
        <x:color rgb="FF243447"/>
        <x:rFont val="Arial"/>
      </x:rPr>
      <x:t xml:space="preserve">DB </x:t>
    </x:r>
    <x:r>
      <x:rPr>
        <x:sz val="1000"/>
        <x:color rgb="FF243447"/>
        <x:rFont val="Linux Libertine G"/>
        <x:family val="2"/>
      </x:rPr>
      <x:t xml:space="preserve">실측으로 교체</x:t>
    </x:r>
  </x:si>
  <x:si>
    <x:t xml:space="preserve">활성 계정당 월 전송량</x:t>
  </x:si>
  <x:si>
    <x:r>
      <x:rPr>
        <x:sz val="1000"/>
        <x:color rgb="FF243447"/>
        <x:rFont val="Arial"/>
      </x:rPr>
      <x:t xml:space="preserve">Supabase </x:t>
    </x:r>
    <x:r>
      <x:rPr>
        <x:sz val="1000"/>
        <x:color rgb="FF243447"/>
        <x:rFont val="Linux Libertine G"/>
        <x:family val="2"/>
      </x:rPr>
      <x:t xml:space="preserve">네트워크 </x:t>
    </x:r>
    <x:r>
      <x:rPr>
        <x:sz val="1000"/>
        <x:color rgb="FF243447"/>
        <x:rFont val="Arial"/>
      </x:rPr>
      <x:t xml:space="preserve">egress</x:t>
    </x:r>
    <x:r>
      <x:rPr>
        <x:sz val="1000"/>
        <x:color rgb="FF243447"/>
        <x:rFont val="Linux Libertine G"/>
        <x:family val="2"/>
      </x:rPr>
      <x:t xml:space="preserve">만</x:t>
    </x:r>
  </x:si>
  <x:si>
    <x:t xml:space="preserve">가입 계정당 파일 저장량</x:t>
  </x:si>
  <x:si>
    <x:t xml:space="preserve">선택적 암호화 아카이브만</x:t>
  </x:si>
  <x:si>
    <x:r>
      <x:rPr>
        <x:sz val="1000"/>
        <x:color rgb="FF000000"/>
        <x:rFont val="Arial"/>
        <x:family val="2"/>
      </x:rPr>
      <x:t xml:space="preserve">Supabase Pro DB </x:t>
    </x:r>
    <x:r>
      <x:rPr>
        <x:sz val="1000"/>
        <x:color rgb="FF000000"/>
        <x:rFont val="Linux Libertine G"/>
        <x:family val="2"/>
      </x:rPr>
      <x:t xml:space="preserve">초과 단가</x:t>
    </x:r>
  </x:si>
  <x:si>
    <x:r>
      <x:rPr>
        <x:sz val="1100"/>
        <x:color rgb="FF000000"/>
        <x:rFont val="Calibri"/>
      </x:rPr>
      <x:t xml:space="preserve">8GB </x:t>
    </x:r>
    <x:r>
      <x:rPr>
        <x:sz val="1100"/>
        <x:color rgb="FF000000"/>
        <x:rFont val="Linux Libertine G"/>
        <x:family val="2"/>
      </x:rPr>
      <x:t xml:space="preserve">초과</x:t>
    </x:r>
  </x:si>
  <x:si>
    <x:r>
      <x:rPr>
        <x:sz val="1000"/>
        <x:color rgb="FF000000"/>
        <x:rFont val="Arial"/>
        <x:family val="2"/>
      </x:rPr>
      <x:t xml:space="preserve">Supabase Pro </x:t>
    </x:r>
    <x:r>
      <x:rPr>
        <x:sz val="1000"/>
        <x:color rgb="FF000000"/>
        <x:rFont val="Linux Libertine G"/>
        <x:family val="2"/>
      </x:rPr>
      <x:t xml:space="preserve">전송 초과 단가</x:t>
    </x:r>
  </x:si>
  <x:si>
    <x:r>
      <x:rPr>
        <x:sz val="1100"/>
        <x:color rgb="FF000000"/>
        <x:rFont val="Calibri"/>
      </x:rPr>
      <x:t xml:space="preserve">250GB </x:t>
    </x:r>
    <x:r>
      <x:rPr>
        <x:sz val="1100"/>
        <x:color rgb="FF000000"/>
        <x:rFont val="Linux Libertine G"/>
        <x:family val="2"/>
      </x:rPr>
      <x:t xml:space="preserve">초과</x:t>
    </x:r>
  </x:si>
  <x:si>
    <x:r>
      <x:rPr>
        <x:sz val="1000"/>
        <x:color rgb="FF000000"/>
        <x:rFont val="Arial"/>
        <x:family val="2"/>
      </x:rPr>
      <x:t xml:space="preserve">Supabase Pro </x:t>
    </x:r>
    <x:r>
      <x:rPr>
        <x:sz val="1000"/>
        <x:color rgb="FF000000"/>
        <x:rFont val="Linux Libertine G"/>
        <x:family val="2"/>
      </x:rPr>
      <x:t xml:space="preserve">저장 초과 단가</x:t>
    </x:r>
  </x:si>
  <x:si>
    <x:r>
      <x:rPr>
        <x:sz val="1100"/>
        <x:color rgb="FF000000"/>
        <x:rFont val="Calibri"/>
      </x:rPr>
      <x:t xml:space="preserve">100GB </x:t>
    </x:r>
    <x:r>
      <x:rPr>
        <x:sz val="1100"/>
        <x:color rgb="FF000000"/>
        <x:rFont val="Linux Libertine G"/>
        <x:family val="2"/>
      </x:rPr>
      <x:t xml:space="preserve">초과</x:t>
    </x:r>
  </x:si>
  <x:si>
    <x:r>
      <x:rPr>
        <x:b/>
        <x:sz val="15"/>
        <x:color rgb="FF17324D"/>
        <x:rFont val="Arial"/>
      </x:rPr>
      <x:t xml:space="preserve">24</x:t>
    </x:r>
    <x:r>
      <x:rPr>
        <x:b/>
        <x:sz val="15"/>
        <x:color rgb="FF17324D"/>
        <x:rFont val="Linux Libertine G"/>
        <x:family val="2"/>
      </x:rPr>
      <x:t xml:space="preserve">개월 월별 가입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매출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손익</x:t>
    </x:r>
  </x:si>
  <x:si>
    <x:r>
      <x:rPr>
        <x:b/>
        <x:sz val="10"/>
        <x:color rgb="FFFFFFFF"/>
        <x:rFont val="Linux Libertine G"/>
        <x:family val="2"/>
      </x:rPr>
      <x:t xml:space="preserve">유입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카드 등록</x:t>
    </x:r>
  </x:si>
  <x:si>
    <x:t xml:space="preserve">출시 시 사전예약 명단</x:t>
  </x:si>
  <x:si>
    <x:t xml:space="preserve">사전예약 → 실제 가입</x:t>
  </x:si>
  <x:si>
    <x:r>
      <x:rPr>
        <x:sz val="10"/>
        <x:color rgb="FF243447"/>
        <x:rFont val="Linux Libertine G"/>
        <x:family val="2"/>
      </x:rPr>
      <x:t xml:space="preserve">사전예약 카드 등록 </x:t>
    </x:r>
    <x:r>
      <x:rPr>
        <x:sz val="10"/>
        <x:color rgb="FF243447"/>
        <x:rFont val="Arial"/>
      </x:rPr>
      <x:t xml:space="preserve">· </x:t>
    </x:r>
    <x:r>
      <x:rPr>
        <x:sz val="10"/>
        <x:color rgb="FF243447"/>
        <x:rFont val="Linux Libertine G"/>
        <x:family val="2"/>
      </x:rPr>
      <x:t xml:space="preserve">첫달 무료</x:t>
    </x:r>
  </x:si>
  <x:si>
    <x:t xml:space="preserve">오가닉 신규 가입</x:t>
  </x:si>
  <x:si>
    <x:r>
      <x:rPr>
        <x:sz val="10"/>
        <x:color rgb="FF243447"/>
        <x:rFont val="Linux Libertine G"/>
        <x:family val="2"/>
      </x:rPr>
      <x:t xml:space="preserve">추천 코드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개 공유자</x:t>
    </x:r>
  </x:si>
  <x:si>
    <x:t xml:space="preserve">추천 코드 신규 가입</x:t>
  </x:si>
  <x:si>
    <x:t xml:space="preserve">추천 카드 등록 체험</x:t>
  </x:si>
  <x:si>
    <x:t xml:space="preserve">오가닉 카드 등록 체험</x:t>
  </x:si>
  <x:si>
    <x:t xml:space="preserve">전체 신규 가입</x:t>
  </x:si>
  <x:si>
    <x:t xml:space="preserve">신규 카드 등록</x:t>
  </x:si>
  <x:si>
    <x:r>
      <x:rPr>
        <x:b/>
        <x:sz val="10"/>
        <x:color rgb="FFFFFFFF"/>
        <x:rFont val="Linux Libertine G"/>
        <x:family val="2"/>
      </x:rPr>
      <x:t xml:space="preserve">가입 전환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고객 유지</x:t>
    </x:r>
  </x:si>
  <x:si>
    <x:t xml:space="preserve">오가닉 신규 유료</x:t>
  </x:si>
  <x:si>
    <x:t xml:space="preserve">추천 신규 유료</x:t>
  </x:si>
  <x:si>
    <x:t xml:space="preserve">사전예약 무료월 후 유료</x:t>
  </x:si>
  <x:si>
    <x:t xml:space="preserve">전체 신규 유료</x:t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</x:si>
  <x:si>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기초 유료</x:t>
    </x:r>
  </x:si>
  <x:si>
    <x:t xml:space="preserve">학생가 기초 유료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</x:si>
  <x:si>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기초 유료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</x:si>
  <x:si>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이탈</x:t>
    </x:r>
  </x:si>
  <x:si>
    <x:t xml:space="preserve">학생가 이탈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</x:si>
  <x:si>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이탈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</x:si>
  <x:si>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신규 유료</x:t>
    </x:r>
  </x:si>
  <x:si>
    <x:t xml:space="preserve">학생가 신규 유료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</x:si>
  <x:si>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신규 유료</x:t>
    </x:r>
  </x:si>
  <x:si>
    <x:r>
      <x:rPr>
        <x:sz val="10"/>
        <x:color rgb="FF243447"/>
        <x:rFont val="Arial"/>
      </x:rPr>
      <x:t xml:space="preserve">Essential </x:t>
    </x:r>
    <x:r>
      <x:rPr>
        <x:sz val="10"/>
        <x:color rgb="FF243447"/>
        <x:rFont val="Linux Libertine G"/>
        <x:family val="2"/>
      </x:rPr>
      <x:t xml:space="preserve">기말 유료</x:t>
    </x:r>
  </x:si>
  <x:si>
    <x:t xml:space="preserve">학생가 기말 유료</x:t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</x:si>
  <x:si>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기말 유료</x:t>
    </x:r>
  </x:si>
  <x:si>
    <x:t xml:space="preserve">전체 기말 유료</x:t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</x:si>
  <x:si>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기초 활성</x:t>
    </x:r>
  </x:si>
  <x:si>
    <x:r>
      <x:rPr>
        <x:sz val="10"/>
        <x:color rgb="FF243447"/>
        <x:rFont val="Linux Libertine G"/>
        <x:family val="2"/>
      </x:rPr>
      <x:t xml:space="preserve">카드 미등록 신규 </x:t>
    </x:r>
    <x:r>
      <x:rPr>
        <x:sz val="10"/>
        <x:color rgb="FF243447"/>
        <x:rFont val="Arial"/>
      </x:rPr>
      <x:t xml:space="preserve">Free</x:t>
    </x:r>
  </x:si>
  <x:si>
    <x:r>
      <x:rPr>
        <x:sz val="10"/>
        <x:color rgb="FF243447"/>
        <x:rFont val="Linux Libertine G"/>
        <x:family val="2"/>
      </x:rPr>
      <x:t xml:space="preserve">체험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무료월 종료 후 </x:t>
    </x:r>
    <x:r>
      <x:rPr>
        <x:sz val="10"/>
        <x:color rgb="FF243447"/>
        <x:rFont val="Arial"/>
      </x:rPr>
      <x:t xml:space="preserve">Free</x:t>
    </x:r>
  </x:si>
  <x:si>
    <x:r>
      <x:rPr>
        <x:sz val="10"/>
        <x:color rgb="FF243447"/>
        <x:rFont val="Linux Libertine G"/>
        <x:family val="2"/>
      </x:rPr>
      <x:t xml:space="preserve">유료 이탈 후 </x:t>
    </x:r>
    <x:r>
      <x:rPr>
        <x:sz val="10"/>
        <x:color rgb="FF243447"/>
        <x:rFont val="Arial"/>
      </x:rPr>
      <x:t xml:space="preserve">Free</x:t>
    </x:r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</x:si>
  <x:si>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비활성 이탈</x:t>
    </x:r>
  </x:si>
  <x:si>
    <x:r>
      <x:rPr>
        <x:b/>
        <x:sz val="10"/>
        <x:color rgb="FF17324D"/>
        <x:rFont val="Arial"/>
      </x:rPr>
      <x:t xml:space="preserve">Free </x:t>
    </x:r>
    <x:r>
      <x:rPr>
        <x:b/>
        <x:sz val="10"/>
        <x:color rgb="FF17324D"/>
        <x:rFont val="Linux Libertine G"/>
        <x:family val="2"/>
      </x:rPr>
      <x:t xml:space="preserve">기말 활성</x:t>
    </x:r>
  </x:si>
  <x:si>
    <x:t xml:space="preserve">일반 체험 활성</x:t>
  </x:si>
  <x:si>
    <x:t xml:space="preserve">사전예약 첫달 무료 활성</x:t>
  </x:si>
  <x:si>
    <x:r>
      <x:rPr>
        <x:sz val="10"/>
        <x:color rgb="FF243447"/>
        <x:rFont val="Linux Libertine G"/>
        <x:family val="2"/>
      </x:rPr>
      <x:t xml:space="preserve">추천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건 달성 </x:t>
    </x:r>
    <x:r>
      <x:rPr>
        <x:sz val="10"/>
        <x:color rgb="FF243447"/>
        <x:rFont val="Arial"/>
      </x:rPr>
      <x:t xml:space="preserve">· </x:t>
    </x:r>
    <x:r>
      <x:rPr>
        <x:sz val="10"/>
        <x:color rgb="FF243447"/>
        <x:rFont val="Linux Libertine G"/>
        <x:family val="2"/>
      </x:rPr>
      <x:t xml:space="preserve">무료월 획득</x:t>
    </x:r>
  </x:si>
  <x:si>
    <x:t xml:space="preserve">추천 무료월 사용</x:t>
  </x:si>
  <x:si>
    <x:t xml:space="preserve">매출</x:t>
  </x:si>
  <x:si>
    <x:r>
      <x:rPr>
        <x:sz val="10"/>
        <x:color rgb="FF243447"/>
        <x:rFont val="Linux Libertine G"/>
        <x:family val="2"/>
      </x:rPr>
      <x:t xml:space="preserve">유료 서비스 정가 총액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포함</x:t>
    </x:r>
    <x:r>
      <x:rPr>
        <x:sz val="10"/>
        <x:color rgb="FF243447"/>
        <x:rFont val="Arial"/>
      </x:rPr>
      <x:t xml:space="preserve">)</x:t>
    </x:r>
  </x:si>
  <x:si>
    <x:r>
      <x:rPr>
        <x:sz val="10"/>
        <x:color rgb="FF243447"/>
        <x:rFont val="Linux Libertine G"/>
        <x:family val="2"/>
      </x:rPr>
      <x:t xml:space="preserve">사전예약 첫달 할인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포함</x:t>
    </x:r>
    <x:r>
      <x:rPr>
        <x:sz val="10"/>
        <x:color rgb="FF243447"/>
        <x:rFont val="Arial"/>
      </x:rPr>
      <x:t xml:space="preserve">)</x:t>
    </x:r>
  </x:si>
  <x:si>
    <x:r>
      <x:rPr>
        <x:sz val="10"/>
        <x:color rgb="FF243447"/>
        <x:rFont val="Linux Libertine G"/>
        <x:family val="2"/>
      </x:rPr>
      <x:t xml:space="preserve">추천 무료월 할인 </x:t>
    </x:r>
    <x:r>
      <x:rPr>
        <x:sz val="10"/>
        <x:color rgb="FF243447"/>
        <x:rFont val="Arial"/>
      </x:rPr>
      <x:t xml:space="preserve">(VAT </x:t>
    </x:r>
    <x:r>
      <x:rPr>
        <x:sz val="10"/>
        <x:color rgb="FF243447"/>
        <x:rFont val="Linux Libertine G"/>
        <x:family val="2"/>
      </x:rPr>
      <x:t xml:space="preserve">포함</x:t>
    </x:r>
    <x:r>
      <x:rPr>
        <x:sz val="10"/>
        <x:color rgb="FF243447"/>
        <x:rFont val="Arial"/>
      </x:rPr>
      <x:t xml:space="preserve">)</x:t>
    </x:r>
  </x:si>
  <x:si>
    <x:r>
      <x:rPr>
        <x:b/>
        <x:sz val="10"/>
        <x:color rgb="FF17324D"/>
        <x:rFont val="Linux Libertine G"/>
        <x:family val="2"/>
      </x:rPr>
      <x:t xml:space="preserve">고객 결제액 </x:t>
    </x:r>
    <x:r>
      <x:rPr>
        <x:b/>
        <x:sz val="10"/>
        <x:color rgb="FF17324D"/>
        <x:rFont val="Arial"/>
      </x:rPr>
      <x:t xml:space="preserve">(VAT </x:t>
    </x:r>
    <x:r>
      <x:rPr>
        <x:b/>
        <x:sz val="10"/>
        <x:color rgb="FF17324D"/>
        <x:rFont val="Linux Libertine G"/>
        <x:family val="2"/>
      </x:rPr>
      <x:t xml:space="preserve">포함</x:t>
    </x:r>
    <x:r>
      <x:rPr>
        <x:b/>
        <x:sz val="10"/>
        <x:color rgb="FF17324D"/>
        <x:rFont val="Arial"/>
      </x:rPr>
      <x:t xml:space="preserve">)</x:t>
    </x:r>
  </x:si>
  <x:si>
    <x:t xml:space="preserve">매출 부가세 분리</x:t>
  </x:si>
  <x:si>
    <x:r>
      <x:rPr>
        <x:b/>
        <x:sz val="10"/>
        <x:color rgb="FF17324D"/>
        <x:rFont val="Linux Libertine G"/>
        <x:family val="2"/>
      </x:rPr>
      <x:t xml:space="preserve">순매출 </x:t>
    </x:r>
    <x:r>
      <x:rPr>
        <x:b/>
        <x:sz val="10"/>
        <x:color rgb="FF17324D"/>
        <x:rFont val="Arial"/>
      </x:rPr>
      <x:t xml:space="preserve">(VAT </x:t>
    </x:r>
    <x:r>
      <x:rPr>
        <x:b/>
        <x:sz val="10"/>
        <x:color rgb="FF17324D"/>
        <x:rFont val="Linux Libertine G"/>
        <x:family val="2"/>
      </x:rPr>
      <x:t xml:space="preserve">제외</x:t>
    </x:r>
    <x:r>
      <x:rPr>
        <x:b/>
        <x:sz val="10"/>
        <x:color rgb="FF17324D"/>
        <x:rFont val="Arial"/>
      </x:rPr>
      <x:t xml:space="preserve">)</x:t>
    </x:r>
  </x:si>
  <x:si>
    <x:t xml:space="preserve">실제 결제 고객 수</x:t>
  </x:si>
  <x:si>
    <x:r>
      <x:rPr>
        <x:b/>
        <x:sz val="10"/>
        <x:color rgb="FFFFFFFF"/>
        <x:rFont val="Linux Libertine G"/>
        <x:family val="2"/>
      </x:rPr>
      <x:t xml:space="preserve">사용량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원가 </x:t>
    </x:r>
    <x:r>
      <x:rPr>
        <x:b/>
        <x:sz val="10"/>
        <x:color rgb="FFFFFFFF"/>
        <x:rFont val="Arial"/>
      </x:rPr>
      <x:t xml:space="preserve">· </x:t>
    </x:r>
    <x:r>
      <x:rPr>
        <x:b/>
        <x:sz val="10"/>
        <x:color rgb="FFFFFFFF"/>
        <x:rFont val="Linux Libertine G"/>
        <x:family val="2"/>
      </x:rPr>
      <x:t xml:space="preserve">손익</x:t>
    </x:r>
  </x:si>
  <x:si>
    <x:t xml:space="preserve">유료 고객 강의 이용량</x:t>
  </x:si>
  <x:si>
    <x:t xml:space="preserve">일반 무료체험 강의 이용량</x:t>
  </x:si>
  <x:si>
    <x:t xml:space="preserve">사전예약 무료월 강의 이용량</x:t>
  </x:si>
  <x:si>
    <x:r>
      <x:rPr>
        <x:sz val="10"/>
        <x:color rgb="FF243447"/>
        <x:rFont val="Arial"/>
      </x:rPr>
      <x:t xml:space="preserve">Free </x:t>
    </x:r>
    <x:r>
      <x:rPr>
        <x:sz val="10"/>
        <x:color rgb="FF243447"/>
        <x:rFont val="Linux Libertine G"/>
        <x:family val="2"/>
      </x:rPr>
      <x:t xml:space="preserve">로컬 강의 이용량</x:t>
    </x:r>
  </x:si>
  <x:si>
    <x:r>
      <x:rPr>
        <x:sz val="10"/>
        <x:color rgb="FF243447"/>
        <x:rFont val="Linux Libertine G"/>
        <x:family val="2"/>
      </x:rPr>
      <x:t xml:space="preserve">외부 </x:t>
    </x:r>
    <x:r>
      <x:rPr>
        <x:sz val="10"/>
        <x:color rgb="FF243447"/>
        <x:rFont val="Arial"/>
      </x:rPr>
      <x:t xml:space="preserve">AI </x:t>
    </x:r>
    <x:r>
      <x:rPr>
        <x:sz val="10"/>
        <x:color rgb="FF243447"/>
        <x:rFont val="Linux Libertine G"/>
        <x:family val="2"/>
      </x:rPr>
      <x:t xml:space="preserve">요약 강의량</x:t>
    </x:r>
  </x:si>
  <x:si>
    <x:r>
      <x:rPr>
        <x:sz val="10"/>
        <x:color rgb="FF243447"/>
        <x:rFont val="Arial"/>
      </x:rPr>
      <x:t xml:space="preserve">LLM </x:t>
    </x:r>
    <x:r>
      <x:rPr>
        <x:sz val="10"/>
        <x:color rgb="FF243447"/>
        <x:rFont val="Linux Libertine G"/>
        <x:family val="2"/>
      </x:rPr>
      <x:t xml:space="preserve">입력 토큰</x:t>
    </x:r>
  </x:si>
  <x:si>
    <x:r>
      <x:rPr>
        <x:sz val="10"/>
        <x:color rgb="FF243447"/>
        <x:rFont val="Arial"/>
      </x:rPr>
      <x:t xml:space="preserve">LLM </x:t>
    </x:r>
    <x:r>
      <x:rPr>
        <x:sz val="10"/>
        <x:color rgb="FF243447"/>
        <x:rFont val="Linux Libertine G"/>
        <x:family val="2"/>
      </x:rPr>
      <x:t xml:space="preserve">출력 토큰</x:t>
    </x:r>
  </x:si>
  <x:si>
    <x:r>
      <x:rPr>
        <x:sz val="10"/>
        <x:color rgb="FF243447"/>
        <x:rFont val="Arial"/>
      </x:rPr>
      <x:t xml:space="preserve">LLM API </x:t>
    </x:r>
    <x:r>
      <x:rPr>
        <x:sz val="10"/>
        <x:color rgb="FF243447"/>
        <x:rFont val="Linux Libertine G"/>
        <x:family val="2"/>
      </x:rPr>
      <x:t xml:space="preserve">사용 원가</x:t>
    </x:r>
  </x:si>
  <x:si>
    <x:r>
      <x:rPr>
        <x:sz val="10"/>
        <x:color rgb="FF243447"/>
        <x:rFont val="Arial"/>
      </x:rPr>
      <x:t xml:space="preserve">OpenRouter </x:t>
    </x:r>
    <x:r>
      <x:rPr>
        <x:sz val="10"/>
        <x:color rgb="FF243447"/>
        <x:rFont val="Linux Libertine G"/>
        <x:family val="2"/>
      </x:rPr>
      <x:t xml:space="preserve">충전 수수료 배분</x:t>
    </x:r>
  </x:si>
  <x:si>
    <x:t xml:space="preserve">동의 기반 비전 비용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</x:si>
  <x:si>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비용</x:t>
    </x:r>
  </x:si>
  <x:si>
    <x:r>
      <x:rPr>
        <x:sz val="10"/>
        <x:color rgb="FF243447"/>
        <x:rFont val="Arial"/>
      </x:rPr>
      <x:t xml:space="preserve">Supabase </x:t>
    </x:r>
    <x:r>
      <x:rPr>
        <x:sz val="10"/>
        <x:color rgb="FF243447"/>
        <x:rFont val="Linux Libertine G"/>
        <x:family val="2"/>
      </x:rPr>
      <x:t xml:space="preserve">비용</x:t>
    </x:r>
  </x:si>
  <x:si>
    <x:t xml:space="preserve">결제 변동 수수료</x:t>
  </x:si>
  <x:si>
    <x:r>
      <x:rPr>
        <x:sz val="10"/>
        <x:color rgb="FF243447"/>
        <x:rFont val="Arial"/>
      </x:rPr>
      <x:t xml:space="preserve">PG </x:t>
    </x:r>
    <x:r>
      <x:rPr>
        <x:sz val="10"/>
        <x:color rgb="FF243447"/>
        <x:rFont val="Linux Libertine G"/>
        <x:family val="2"/>
      </x:rPr>
      <x:t xml:space="preserve">가입비 </x:t>
    </x:r>
    <x:r>
      <x:rPr>
        <x:sz val="10"/>
        <x:color rgb="FF243447"/>
        <x:rFont val="Arial"/>
      </x:rPr>
      <x:t xml:space="preserve">· </x:t>
    </x:r>
    <x:r>
      <x:rPr>
        <x:sz val="10"/>
        <x:color rgb="FF243447"/>
        <x:rFont val="Linux Libertine G"/>
        <x:family val="2"/>
      </x:rPr>
      <x:t xml:space="preserve">연관리비</x:t>
    </x:r>
  </x:si>
  <x:si>
    <x:t xml:space="preserve">고객 지원 변동비</x:t>
  </x:si>
  <x:si>
    <x:t xml:space="preserve">마케팅비</x:t>
  </x:si>
  <x:si>
    <x:t xml:space="preserve">인건비</x:t>
  </x:si>
  <x:si>
    <x:t xml:space="preserve">기타 판관비</x:t>
  </x:si>
  <x:si>
    <x:t xml:space="preserve">전체 영업비용</x:t>
  </x:si>
  <x:si>
    <x:t xml:space="preserve">세전 이익</x:t>
  </x:si>
  <x:si>
    <x:t xml:space="preserve">기초 이월결손금</x:t>
  </x:si>
  <x:si>
    <x:t xml:space="preserve">추정 과세소득</x:t>
  </x:si>
  <x:si>
    <x:t xml:space="preserve">추정 법인세</x:t>
  </x:si>
  <x:si>
    <x:t xml:space="preserve">기말 이월결손금</x:t>
  </x:si>
  <x:si>
    <x:t xml:space="preserve">추정 순이익</x:t>
  </x:si>
  <x:si>
    <x:t xml:space="preserve">순이익률</x:t>
  </x:si>
  <x:si>
    <x:r>
      <x:rPr>
        <x:b/>
        <x:sz val="10"/>
        <x:color rgb="FFFFFFFF"/>
        <x:rFont val="Linux Libertine G"/>
        <x:family val="2"/>
      </x:rPr>
      <x:t xml:space="preserve">검증</x:t>
    </x:r>
    <x:r>
      <x:rPr>
        <x:b/>
        <x:sz val="10"/>
        <x:color rgb="FFFFFFFF"/>
        <x:rFont val="Arial"/>
      </x:rPr>
      <x:t xml:space="preserve">: </x:t>
    </x:r>
    <x:r>
      <x:rPr>
        <x:b/>
        <x:sz val="10"/>
        <x:color rgb="FFFFFFFF"/>
        <x:rFont val="Linux Libertine G"/>
        <x:family val="2"/>
      </x:rPr>
      <x:t xml:space="preserve">정상은 모두 </x:t>
    </x:r>
    <x:r>
      <x:rPr>
        <x:b/>
        <x:sz val="10"/>
        <x:color rgb="FFFFFFFF"/>
        <x:rFont val="Arial"/>
      </x:rPr>
      <x:t xml:space="preserve">0</x:t>
    </x:r>
  </x:si>
  <x:si>
    <x:t xml:space="preserve">가입 경로 합계 차이</x:t>
  </x:si>
  <x:si>
    <x:t xml:space="preserve">유료 고객 롤포워드 차이</x:t>
  </x:si>
  <x:si>
    <x:t xml:space="preserve">음수 고객 수 검사</x:t>
  </x:si>
  <x:si>
    <x:t xml:space="preserve">추천 보상 상한 차이</x:t>
  </x:si>
  <x:si>
    <x:r>
      <x:rPr>
        <x:sz val="10"/>
        <x:color rgb="FF243447"/>
        <x:rFont val="Linux Libertine G"/>
        <x:family val="2"/>
      </x:rPr>
      <x:t xml:space="preserve">매출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결제액 대사 차이</x:t>
    </x:r>
  </x:si>
  <x:si>
    <x:r>
      <x:rPr>
        <x:b/>
        <x:sz val="1000"/>
        <x:color rgb="FFFFFFFF"/>
        <x:rFont val="Linux Libertine G"/>
        <x:family val="2"/>
      </x:rPr>
      <x:t xml:space="preserve">인프라 사용량 </x:t>
    </x:r>
    <x:r>
      <x:rPr>
        <x:b/>
        <x:sz val="1000"/>
        <x:color rgb="FFFFFFFF"/>
        <x:rFont val="Arial"/>
      </x:rPr>
      <x:t xml:space="preserve">· </x:t>
    </x:r>
    <x:r>
      <x:rPr>
        <x:b/>
        <x:sz val="1000"/>
        <x:color rgb="FFFFFFFF"/>
        <x:rFont val="Linux Libertine G"/>
        <x:family val="2"/>
      </x:rPr>
      <x:t xml:space="preserve">플랜 전환</x:t>
    </x:r>
  </x:si>
  <x:si>
    <x:r>
      <x:rPr>
        <x:sz val="1000"/>
        <x:color rgb="FF243447"/>
        <x:rFont val="Arial"/>
      </x:rPr>
      <x:t xml:space="preserve">Vercel </x:t>
    </x:r>
    <x:r>
      <x:rPr>
        <x:sz val="1000"/>
        <x:color rgb="FF243447"/>
        <x:rFont val="Linux Libertine G"/>
        <x:family val="2"/>
      </x:rPr>
      <x:t xml:space="preserve">랜딩 방문자</x:t>
    </x:r>
  </x:si>
  <x:si>
    <x:r>
      <x:rPr>
        <x:sz val="1000"/>
        <x:color rgb="FF243447"/>
        <x:rFont val="Arial"/>
      </x:rPr>
      <x:t xml:space="preserve">Vercel </x:t>
    </x:r>
    <x:r>
      <x:rPr>
        <x:sz val="1000"/>
        <x:color rgb="FF243447"/>
        <x:rFont val="Linux Libertine G"/>
        <x:family val="2"/>
      </x:rPr>
      <x:t xml:space="preserve">전송량</x:t>
    </x:r>
  </x:si>
  <x:si>
    <x:r>
      <x:rPr>
        <x:sz val="1000"/>
        <x:color rgb="FF243447"/>
        <x:rFont val="Arial"/>
      </x:rPr>
      <x:t xml:space="preserve">Vercel Edge </x:t>
    </x:r>
    <x:r>
      <x:rPr>
        <x:sz val="1000"/>
        <x:color rgb="FF243447"/>
        <x:rFont val="Linux Libertine G"/>
        <x:family val="2"/>
      </x:rPr>
      <x:t xml:space="preserve">요청</x:t>
    </x:r>
  </x:si>
  <x:si>
    <x:r>
      <x:rPr>
        <x:sz val="1000"/>
        <x:color rgb="FF243447"/>
        <x:rFont val="Arial"/>
      </x:rPr>
      <x:t xml:space="preserve">Vercel Pro </x:t>
    </x:r>
    <x:r>
      <x:rPr>
        <x:sz val="1000"/>
        <x:color rgb="FF243447"/>
        <x:rFont val="Linux Libertine G"/>
        <x:family val="2"/>
      </x:rPr>
      <x:t xml:space="preserve">적용 </x:t>
    </x:r>
    <x:r>
      <x:rPr>
        <x:sz val="1000"/>
        <x:color rgb="FF243447"/>
        <x:rFont val="Arial"/>
      </x:rPr>
      <x:t xml:space="preserve">(1=Pro)</x:t>
    </x:r>
  </x:si>
  <x:si>
    <x:r>
      <x:rPr>
        <x:sz val="1000"/>
        <x:color rgb="FF000000"/>
        <x:rFont val="Arial"/>
        <x:family val="2"/>
      </x:rPr>
      <x:t xml:space="preserve">Vercel Pro </x:t>
    </x:r>
    <x:r>
      <x:rPr>
        <x:sz val="1000"/>
        <x:color rgb="FF000000"/>
        <x:rFont val="Linux Libertine G"/>
        <x:family val="2"/>
      </x:rPr>
      <x:t xml:space="preserve">초과 종량 비용</x:t>
    </x:r>
  </x:si>
  <x:si>
    <x:r>
      <x:rPr>
        <x:sz val="1000"/>
        <x:color rgb="FF000000"/>
        <x:rFont val="Arial"/>
        <x:family val="2"/>
      </x:rPr>
      <x:t xml:space="preserve">Supabase </x:t>
    </x:r>
    <x:r>
      <x:rPr>
        <x:sz val="1000"/>
        <x:color rgb="FF000000"/>
        <x:rFont val="Linux Libertine G"/>
        <x:family val="2"/>
      </x:rPr>
      <x:t xml:space="preserve">월 활성 계정</x:t>
    </x:r>
  </x:si>
  <x:si>
    <x:t xml:space="preserve">누적 등록 계정</x:t>
  </x:si>
  <x:si>
    <x:r>
      <x:rPr>
        <x:sz val="1000"/>
        <x:color rgb="FF000000"/>
        <x:rFont val="Arial"/>
        <x:family val="2"/>
      </x:rPr>
      <x:t xml:space="preserve">Supabase DB </x:t>
    </x:r>
    <x:r>
      <x:rPr>
        <x:sz val="1000"/>
        <x:color rgb="FF000000"/>
        <x:rFont val="Linux Libertine G"/>
        <x:family val="2"/>
      </x:rPr>
      <x:t xml:space="preserve">용량</x:t>
    </x:r>
  </x:si>
  <x:si>
    <x:r>
      <x:rPr>
        <x:sz val="1000"/>
        <x:color rgb="FF000000"/>
        <x:rFont val="Arial"/>
        <x:family val="2"/>
      </x:rPr>
      <x:t xml:space="preserve">Supabase </x:t>
    </x:r>
    <x:r>
      <x:rPr>
        <x:sz val="1000"/>
        <x:color rgb="FF000000"/>
        <x:rFont val="Linux Libertine G"/>
        <x:family val="2"/>
      </x:rPr>
      <x:t xml:space="preserve">월 전송량</x:t>
    </x:r>
  </x:si>
  <x:si>
    <x:r>
      <x:rPr>
        <x:sz val="1000"/>
        <x:color rgb="FF000000"/>
        <x:rFont val="Arial"/>
        <x:family val="2"/>
      </x:rPr>
      <x:t xml:space="preserve">Supabase </x:t>
    </x:r>
    <x:r>
      <x:rPr>
        <x:sz val="1000"/>
        <x:color rgb="FF000000"/>
        <x:rFont val="Linux Libertine G"/>
        <x:family val="2"/>
      </x:rPr>
      <x:t xml:space="preserve">파일 저장량</x:t>
    </x:r>
  </x:si>
  <x:si>
    <x:r>
      <x:rPr>
        <x:sz val="1000"/>
        <x:color rgb="FF000000"/>
        <x:rFont val="Arial"/>
        <x:family val="2"/>
      </x:rPr>
      <x:t xml:space="preserve">Supabase Pro </x:t>
    </x:r>
    <x:r>
      <x:rPr>
        <x:sz val="1000"/>
        <x:color rgb="FF000000"/>
        <x:rFont val="Linux Libertine G"/>
        <x:family val="2"/>
      </x:rPr>
      <x:t xml:space="preserve">적용 </x:t>
    </x:r>
    <x:r>
      <x:rPr>
        <x:sz val="1000"/>
        <x:color rgb="FF000000"/>
        <x:rFont val="Arial"/>
        <x:family val="2"/>
      </x:rPr>
      <x:t xml:space="preserve">(1=Pro)</x:t>
    </x:r>
  </x:si>
  <x:si>
    <x:r>
      <x:rPr>
        <x:sz val="1000"/>
        <x:color rgb="FF000000"/>
        <x:rFont val="Arial"/>
        <x:family val="2"/>
      </x:rPr>
      <x:t xml:space="preserve">Supabase Pro </x:t>
    </x:r>
    <x:r>
      <x:rPr>
        <x:sz val="1000"/>
        <x:color rgb="FF000000"/>
        <x:rFont val="Linux Libertine G"/>
        <x:family val="2"/>
      </x:rPr>
      <x:t xml:space="preserve">초과 종량 비용</x:t>
    </x:r>
  </x:si>
  <x:si>
    <x:r>
      <x:rPr>
        <x:b/>
        <x:sz val="15"/>
        <x:color rgb="FF17324D"/>
        <x:rFont val="Linux Libertine G"/>
        <x:family val="2"/>
      </x:rPr>
      <x:t xml:space="preserve">출처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산식 </x:t>
    </x:r>
    <x:r>
      <x:rPr>
        <x:b/>
        <x:sz val="15"/>
        <x:color rgb="FF17324D"/>
        <x:rFont val="Arial"/>
      </x:rPr>
      <x:t xml:space="preserve">· </x:t>
    </x:r>
    <x:r>
      <x:rPr>
        <x:b/>
        <x:sz val="15"/>
        <x:color rgb="FF17324D"/>
        <x:rFont val="Linux Libertine G"/>
        <x:family val="2"/>
      </x:rPr>
      <x:t xml:space="preserve">확인할 실측값</x:t>
    </x:r>
  </x:si>
  <x:si>
    <x:t xml:space="preserve">ID</x:t>
  </x:si>
  <x:si>
    <x:r>
      <x:rPr>
        <x:b/>
        <x:sz val="10"/>
        <x:color rgb="FFFFFFFF"/>
        <x:rFont val="Linux Libertine G"/>
        <x:family val="2"/>
      </x:rPr>
      <x:t xml:space="preserve">자료 </x:t>
    </x:r>
    <x:r>
      <x:rPr>
        <x:b/>
        <x:sz val="10"/>
        <x:color rgb="FFFFFFFF"/>
        <x:rFont val="Arial"/>
      </x:rPr>
      <x:t xml:space="preserve">/ </x:t>
    </x:r>
    <x:r>
      <x:rPr>
        <x:b/>
        <x:sz val="10"/>
        <x:color rgb="FFFFFFFF"/>
        <x:rFont val="Linux Libertine G"/>
        <x:family val="2"/>
      </x:rPr>
      <x:t xml:space="preserve">정의</x:t>
    </x:r>
  </x:si>
  <x:si>
    <x:t xml:space="preserve">확인값</x:t>
  </x:si>
  <x:si>
    <x:r>
      <x:rPr>
        <x:b/>
        <x:sz val="10"/>
        <x:color rgb="FFFFFFFF"/>
        <x:rFont val="Linux Libertine G"/>
        <x:family val="2"/>
      </x:rPr>
      <x:t xml:space="preserve">직접 </x:t>
    </x:r>
    <x:r>
      <x:rPr>
        <x:b/>
        <x:sz val="10"/>
        <x:color rgb="FFFFFFFF"/>
        <x:rFont val="Arial"/>
      </x:rPr>
      <x:t xml:space="preserve">URL</x:t>
    </x:r>
  </x:si>
  <x:si>
    <x:r>
      <x:rPr>
        <x:sz val="10"/>
        <x:color rgb="FF243447"/>
        <x:rFont val="Linux Libertine G"/>
        <x:family val="2"/>
      </x:rPr>
      <x:t xml:space="preserve">사용자 지정 가격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무료 혜택</x:t>
    </x:r>
  </x:si>
  <x:si>
    <x:r>
      <x:rPr>
        <x:sz val="10"/>
        <x:color rgb="FF243447"/>
        <x:rFont val="Arial"/>
      </x:rPr>
      <x:t xml:space="preserve">Free 0 / Essential 21,900 / </x:t>
    </x:r>
    <x:r>
      <x:rPr>
        <x:sz val="10"/>
        <x:color rgb="FF243447"/>
        <x:rFont val="Linux Libertine G"/>
        <x:family val="2"/>
      </x:rPr>
      <x:t xml:space="preserve">학생 </x:t>
    </x:r>
    <x:r>
      <x:rPr>
        <x:sz val="10"/>
        <x:color rgb="FF243447"/>
        <x:rFont val="Arial"/>
      </x:rPr>
      <x:t xml:space="preserve">13,900 / Pro 28,900; 14</x:t>
    </x:r>
    <x:r>
      <x:rPr>
        <x:sz val="10"/>
        <x:color rgb="FF243447"/>
        <x:rFont val="Linux Libertine G"/>
        <x:family val="2"/>
      </x:rPr>
      <x:t xml:space="preserve">일 </x:t>
    </x:r>
    <x:r>
      <x:rPr>
        <x:sz val="10"/>
        <x:color rgb="FF243447"/>
        <x:rFont val="Arial"/>
      </x:rPr>
      <x:t xml:space="preserve">150</x:t>
    </x:r>
    <x:r>
      <x:rPr>
        <x:sz val="10"/>
        <x:color rgb="FF243447"/>
        <x:rFont val="Linux Libertine G"/>
        <x:family val="2"/>
      </x:rPr>
      <x:t xml:space="preserve">분</x:t>
    </x:r>
    <x:r>
      <x:rPr>
        <x:sz val="10"/>
        <x:color rgb="FF243447"/>
        <x:rFont val="Arial"/>
      </x:rPr>
      <x:t xml:space="preserve">; </x:t>
    </x:r>
    <x:r>
      <x:rPr>
        <x:sz val="10"/>
        <x:color rgb="FF243447"/>
        <x:rFont val="Linux Libertine G"/>
        <x:family val="2"/>
      </x:rPr>
      <x:t xml:space="preserve">예약 첫달 무료</x:t>
    </x:r>
    <x:r>
      <x:rPr>
        <x:sz val="10"/>
        <x:color rgb="FF243447"/>
        <x:rFont val="Arial"/>
      </x:rPr>
      <x:t xml:space="preserve">; M1~M2 2</x:t>
    </x:r>
    <x:r>
      <x:rPr>
        <x:sz val="10"/>
        <x:color rgb="FF243447"/>
        <x:rFont val="Linux Libertine G"/>
        <x:family val="2"/>
      </x:rPr>
      <x:t xml:space="preserve">명 추천 </x:t>
    </x:r>
    <x:r>
      <x:rPr>
        <x:sz val="10"/>
        <x:color rgb="FF243447"/>
        <x:rFont val="Arial"/>
      </x:rPr>
      <x:t xml:space="preserve">1</x:t>
    </x:r>
    <x:r>
      <x:rPr>
        <x:sz val="10"/>
        <x:color rgb="FF243447"/>
        <x:rFont val="Linux Libertine G"/>
        <x:family val="2"/>
      </x:rPr>
      <x:t xml:space="preserve">달 추가</x:t>
    </x:r>
  </x:si>
  <x:si>
    <x:t xml:space="preserve">이 대화의 사용자 제공 조건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</x:si>
  <x:si>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공식 요금 및 </x:t>
    </x:r>
    <x:r>
      <x:rPr>
        <x:sz val="10"/>
        <x:color rgb="FF243447"/>
        <x:rFont val="Arial"/>
      </x:rPr>
      <x:t xml:space="preserve">Hobby </x:t>
    </x:r>
    <x:r>
      <x:rPr>
        <x:sz val="10"/>
        <x:color rgb="FF243447"/>
        <x:rFont val="Linux Libertine G"/>
        <x:family val="2"/>
      </x:rPr>
      <x:t xml:space="preserve">사용 조건</x:t>
    </x:r>
  </x:si>
  <x:si>
    <x:r>
      <x:rPr>
        <x:sz val="10"/>
        <x:color rgb="FF243447"/>
        <x:rFont val="Arial"/>
      </x:rPr>
      <x:t xml:space="preserve">Pro </x:t>
    </x:r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$20 · </x:t>
    </x:r>
    <x:r>
      <x:rPr>
        <x:sz val="10"/>
        <x:color rgb="FF243447"/>
        <x:rFont val="Linux Libertine G"/>
        <x:family val="2"/>
      </x:rPr>
      <x:t xml:space="preserve">사용량 크레딧 </x:t>
    </x:r>
    <x:r>
      <x:rPr>
        <x:sz val="10"/>
        <x:color rgb="FF243447"/>
        <x:rFont val="Arial"/>
      </x:rPr>
      <x:t xml:space="preserve">$20. Hobby</x:t>
    </x:r>
    <x:r>
      <x:rPr>
        <x:sz val="10"/>
        <x:color rgb="FF243447"/>
        <x:rFont val="Linux Libertine G"/>
        <x:family val="2"/>
      </x:rPr>
      <x:t xml:space="preserve">는 개인 비상업용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트래픽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요청 초과는 지역별 종량</x:t>
    </x:r>
    <x:r>
      <x:rPr>
        <x:sz val="10"/>
        <x:color rgb="FF243447"/>
        <x:rFont val="Arial"/>
      </x:rPr>
      <x:t xml:space="preserve">.</x:t>
    </x:r>
  </x:si>
  <x:si>
    <x:t xml:space="preserve">https://vercel.com/docs/limits/fair-use-guidelines</x:t>
  </x:si>
  <x:si>
    <x:r>
      <x:rPr>
        <x:sz val="10"/>
        <x:color rgb="FF243447"/>
        <x:rFont val="Arial"/>
      </x:rPr>
      <x:t xml:space="preserve">Supabase Pro </x:t>
    </x:r>
    <x:r>
      <x:rPr>
        <x:sz val="10"/>
        <x:color rgb="FF243447"/>
        <x:rFont val="Linux Libertine G"/>
        <x:family val="2"/>
      </x:rPr>
      <x:t xml:space="preserve">공식 요금</x:t>
    </x:r>
  </x:si>
  <x:si>
    <x:r>
      <x:rPr>
        <x:sz val="10"/>
        <x:color rgb="FF243447"/>
        <x:rFont val="Arial"/>
      </x:rPr>
      <x:t xml:space="preserve">Free: 5</x:t>
    </x:r>
    <x:r>
      <x:rPr>
        <x:sz val="10"/>
        <x:color rgb="FF243447"/>
        <x:rFont val="Linux Libertine G"/>
        <x:family val="2"/>
      </x:rPr>
      <x:t xml:space="preserve">만 </x:t>
    </x:r>
    <x:r>
      <x:rPr>
        <x:sz val="10"/>
        <x:color rgb="FF243447"/>
        <x:rFont val="Arial"/>
      </x:rPr>
      <x:t xml:space="preserve">MAU / DB 500MB / 5GB egress / 1GB storage. Pro: </x:t>
    </x:r>
    <x:r>
      <x:rPr>
        <x:sz val="10"/>
        <x:color rgb="FF243447"/>
        <x:rFont val="Linux Libertine G"/>
        <x:family val="2"/>
      </x:rPr>
      <x:t xml:space="preserve">월 </x:t>
    </x:r>
    <x:r>
      <x:rPr>
        <x:sz val="10"/>
        <x:color rgb="FF243447"/>
        <x:rFont val="Arial"/>
      </x:rPr>
      <x:t xml:space="preserve">$25, 10</x:t>
    </x:r>
    <x:r>
      <x:rPr>
        <x:sz val="10"/>
        <x:color rgb="FF243447"/>
        <x:rFont val="Linux Libertine G"/>
        <x:family val="2"/>
      </x:rPr>
      <x:t xml:space="preserve">만 </x:t>
    </x:r>
    <x:r>
      <x:rPr>
        <x:sz val="10"/>
        <x:color rgb="FF243447"/>
        <x:rFont val="Arial"/>
      </x:rPr>
      <x:t xml:space="preserve">MAU / DB 8GB / 250GB egress / 100GB storage.</x:t>
    </x:r>
  </x:si>
  <x:si>
    <x:t xml:space="preserve">https://supabase.com/pricing</x:t>
  </x:si>
  <x:si>
    <x:t xml:space="preserve">OpenRouter Gemini 2.5 Flash Lite</x:t>
  </x:si>
  <x:si>
    <x:r>
      <x:rPr>
        <x:sz val="10"/>
        <x:color rgb="FF243447"/>
        <x:rFont val="Linux Libertine G"/>
        <x:family val="2"/>
      </x:rPr>
      <x:t xml:space="preserve">입력 </x:t>
    </x:r>
    <x:r>
      <x:rPr>
        <x:sz val="10"/>
        <x:color rgb="FF243447"/>
        <x:rFont val="Arial"/>
      </x:rPr>
      <x:t xml:space="preserve">$0.10, </x:t>
    </x:r>
    <x:r>
      <x:rPr>
        <x:sz val="10"/>
        <x:color rgb="FF243447"/>
        <x:rFont val="Linux Libertine G"/>
        <x:family val="2"/>
      </x:rPr>
      <x:t xml:space="preserve">출력 </x:t>
    </x:r>
    <x:r>
      <x:rPr>
        <x:sz val="10"/>
        <x:color rgb="FF243447"/>
        <x:rFont val="Arial"/>
      </x:rPr>
      <x:t xml:space="preserve">$0.40 / 100</x:t>
    </x:r>
    <x:r>
      <x:rPr>
        <x:sz val="10"/>
        <x:color rgb="FF243447"/>
        <x:rFont val="Linux Libertine G"/>
        <x:family val="2"/>
      </x:rPr>
      <x:t xml:space="preserve">만 토큰</x:t>
    </x:r>
  </x:si>
  <x:si>
    <x:t xml:space="preserve">https://openrouter.ai/google/gemini-2.5-flash-lite</x:t>
  </x:si>
  <x:si>
    <x:t xml:space="preserve">OpenRouter Gemini 3.8 Flash</x:t>
  </x:si>
  <x:si>
    <x:r>
      <x:rPr>
        <x:sz val="10"/>
        <x:color rgb="FF243447"/>
        <x:rFont val="Linux Libertine G"/>
        <x:family val="2"/>
      </x:rPr>
      <x:t xml:space="preserve">현재 </x:t>
    </x:r>
    <x:r>
      <x:rPr>
        <x:sz val="10"/>
        <x:color rgb="FF243447"/>
        <x:rFont val="Arial"/>
      </x:rPr>
      <x:t xml:space="preserve">50% </x:t>
    </x:r>
    <x:r>
      <x:rPr>
        <x:sz val="10"/>
        <x:color rgb="FF243447"/>
        <x:rFont val="Linux Libertine G"/>
        <x:family val="2"/>
      </x:rPr>
      <x:t xml:space="preserve">한시 할인 표시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계획은 보수적 정가 </x:t>
    </x:r>
    <x:r>
      <x:rPr>
        <x:sz val="10"/>
        <x:color rgb="FF243447"/>
        <x:rFont val="Arial"/>
      </x:rPr>
      <x:t xml:space="preserve">$1.50/$7.50 </x:t>
    </x:r>
    <x:r>
      <x:rPr>
        <x:sz val="10"/>
        <x:color rgb="FF243447"/>
        <x:rFont val="Linux Libertine G"/>
        <x:family val="2"/>
      </x:rPr>
      <x:t xml:space="preserve">적용</x:t>
    </x:r>
  </x:si>
  <x:si>
    <x:t xml:space="preserve">https://openrouter.ai/google/gemini-3.8-flash</x:t>
  </x:si>
  <x:si>
    <x:r>
      <x:rPr>
        <x:sz val="10"/>
        <x:color rgb="FF243447"/>
        <x:rFont val="Arial"/>
      </x:rPr>
      <x:t xml:space="preserve">OpenRouter Standard </x:t>
    </x:r>
    <x:r>
      <x:rPr>
        <x:sz val="10"/>
        <x:color rgb="FF243447"/>
        <x:rFont val="Linux Libertine G"/>
        <x:family val="2"/>
      </x:rPr>
      <x:t xml:space="preserve">수수료</x:t>
    </x:r>
  </x:si>
  <x:si>
    <x:r>
      <x:rPr>
        <x:sz val="10"/>
        <x:color rgb="FF243447"/>
        <x:rFont val="Linux Libertine G"/>
        <x:family val="2"/>
      </x:rPr>
      <x:t xml:space="preserve">크레딧 충전액에 </x:t>
    </x:r>
    <x:r>
      <x:rPr>
        <x:sz val="10"/>
        <x:color rgb="FF243447"/>
        <x:rFont val="Arial"/>
      </x:rPr>
      <x:t xml:space="preserve">5.5% </x:t>
    </x:r>
    <x:r>
      <x:rPr>
        <x:sz val="10"/>
        <x:color rgb="FF243447"/>
        <x:rFont val="Linux Libertine G"/>
        <x:family val="2"/>
      </x:rPr>
      <x:t xml:space="preserve">수수료</x:t>
    </x:r>
    <x:r>
      <x:rPr>
        <x:sz val="10"/>
        <x:color rgb="FF243447"/>
        <x:rFont val="Arial"/>
      </x:rPr>
      <x:t xml:space="preserve">. API </x:t>
    </x:r>
    <x:r>
      <x:rPr>
        <x:sz val="10"/>
        <x:color rgb="FF243447"/>
        <x:rFont val="Linux Libertine G"/>
        <x:family val="2"/>
      </x:rPr>
      <x:t xml:space="preserve">소비액에 배분해 근사</x:t>
    </x:r>
  </x:si>
  <x:si>
    <x:t xml:space="preserve">https://openrouter.ai/pricing</x:t>
  </x:si>
  <x:si>
    <x:t xml:space="preserve">토스페이먼츠 일반 카드 요금</x:t>
  </x:si>
  <x:si>
    <x:r>
      <x:rPr>
        <x:sz val="10"/>
        <x:color rgb="FF243447"/>
        <x:rFont val="Linux Libertine G"/>
        <x:family val="2"/>
      </x:rPr>
      <x:t xml:space="preserve">카드 </x:t>
    </x:r>
    <x:r>
      <x:rPr>
        <x:sz val="10"/>
        <x:color rgb="FF243447"/>
        <x:rFont val="Arial"/>
      </x:rPr>
      <x:t xml:space="preserve">3.4%, </x:t>
    </x:r>
    <x:r>
      <x:rPr>
        <x:sz val="10"/>
        <x:color rgb="FF243447"/>
        <x:rFont val="Linux Libertine G"/>
        <x:family val="2"/>
      </x:rPr>
      <x:t xml:space="preserve">가입비 </x:t>
    </x:r>
    <x:r>
      <x:rPr>
        <x:sz val="10"/>
        <x:color rgb="FF243447"/>
        <x:rFont val="Arial"/>
      </x:rPr>
      <x:t xml:space="preserve">22</x:t>
    </x:r>
    <x:r>
      <x:rPr>
        <x:sz val="10"/>
        <x:color rgb="FF243447"/>
        <x:rFont val="Linux Libertine G"/>
        <x:family val="2"/>
      </x:rPr>
      <x:t xml:space="preserve">만원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연관리비 </x:t>
    </x:r>
    <x:r>
      <x:rPr>
        <x:sz val="10"/>
        <x:color rgb="FF243447"/>
        <x:rFont val="Arial"/>
      </x:rPr>
      <x:t xml:space="preserve">11</x:t>
    </x:r>
    <x:r>
      <x:rPr>
        <x:sz val="10"/>
        <x:color rgb="FF243447"/>
        <x:rFont val="Linux Libertine G"/>
        <x:family val="2"/>
      </x:rPr>
      <x:t xml:space="preserve">만원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자동결제는 추가 계약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심사 필요</x:t>
    </x:r>
  </x:si>
  <x:si>
    <x:t xml:space="preserve">https://www.tosspayments.com/about/fee</x:t>
  </x:si>
  <x:si>
    <x:t xml:space="preserve">P9</x:t>
  </x:si>
  <x:si>
    <x:t xml:space="preserve">토스페이먼츠 자동결제 안내</x:t>
  </x:si>
  <x:si>
    <x:r>
      <x:rPr>
        <x:sz val="10"/>
        <x:color rgb="FF243447"/>
        <x:rFont val="Linux Libertine G"/>
        <x:family val="2"/>
      </x:rPr>
      <x:t xml:space="preserve">자동결제는 추가 계약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심사 대상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실제 수수료 확인 필요</x:t>
    </x:r>
  </x:si>
  <x:si>
    <x:t xml:space="preserve">https://docs.tosspayments.com/guides/v2/billing</x:t>
  </x:si>
  <x:si>
    <x:t xml:space="preserve">국세청 부가세 계산</x:t>
  </x:si>
  <x:si>
    <x:r>
      <x:rPr>
        <x:sz val="10"/>
        <x:color rgb="FF243447"/>
        <x:rFont val="Linux Libertine G"/>
        <x:family val="2"/>
      </x:rPr>
      <x:t xml:space="preserve">일반 과세 </x:t>
    </x:r>
    <x:r>
      <x:rPr>
        <x:sz val="10"/>
        <x:color rgb="FF243447"/>
        <x:rFont val="Arial"/>
      </x:rPr>
      <x:t xml:space="preserve">10%; </x:t>
    </x:r>
    <x:r>
      <x:rPr>
        <x:sz val="10"/>
        <x:color rgb="FF243447"/>
        <x:rFont val="Linux Libertine G"/>
        <x:family val="2"/>
      </x:rPr>
      <x:t xml:space="preserve">소비자가 포함 가격이면 공급가액은 결제액</x:t>
    </x:r>
    <x:r>
      <x:rPr>
        <x:sz val="10"/>
        <x:color rgb="FF243447"/>
        <x:rFont val="Arial"/>
      </x:rPr>
      <x:t xml:space="preserve">/1.1</x:t>
    </x:r>
  </x:si>
  <x:si>
    <x:t xml:space="preserve">https://www.nts.go.kr/nts/cm/cntnts/cntntsView.do?cntntsId=7696&amp;mi=2274</x:t>
  </x:si>
  <x:si>
    <x:r>
      <x:rPr>
        <x:sz val="10"/>
        <x:color rgb="FF243447"/>
        <x:rFont val="Linux Libertine G"/>
        <x:family val="2"/>
      </x:rPr>
      <x:t xml:space="preserve">국세청 </x:t>
    </x:r>
    <x:r>
      <x:rPr>
        <x:sz val="10"/>
        <x:color rgb="FF243447"/>
        <x:rFont val="Arial"/>
      </x:rPr>
      <x:t xml:space="preserve">2026</x:t>
    </x:r>
    <x:r>
      <x:rPr>
        <x:sz val="10"/>
        <x:color rgb="FF243447"/>
        <x:rFont val="Linux Libertine G"/>
        <x:family val="2"/>
      </x:rPr>
      <x:t xml:space="preserve">년 이후 법인세율</x:t>
    </x:r>
  </x:si>
  <x:si>
    <x:r>
      <x:rPr>
        <x:sz val="10"/>
        <x:color rgb="FF243447"/>
        <x:rFont val="Linux Libertine G"/>
        <x:family val="2"/>
      </x:rPr>
      <x:t xml:space="preserve">과세표준 </x:t>
    </x:r>
    <x:r>
      <x:rPr>
        <x:sz val="10"/>
        <x:color rgb="FF243447"/>
        <x:rFont val="Arial"/>
      </x:rPr>
      <x:t xml:space="preserve">2</x:t>
    </x:r>
    <x:r>
      <x:rPr>
        <x:sz val="10"/>
        <x:color rgb="FF243447"/>
        <x:rFont val="Linux Libertine G"/>
        <x:family val="2"/>
      </x:rPr>
      <x:t xml:space="preserve">억원 이하 영리법인 </x:t>
    </x:r>
    <x:r>
      <x:rPr>
        <x:sz val="10"/>
        <x:color rgb="FF243447"/>
        <x:rFont val="Arial"/>
      </x:rPr>
      <x:t xml:space="preserve">10%; </x:t>
    </x:r>
    <x:r>
      <x:rPr>
        <x:sz val="10"/>
        <x:color rgb="FF243447"/>
        <x:rFont val="Linux Libertine G"/>
        <x:family val="2"/>
      </x:rPr>
      <x:t xml:space="preserve">실제 지방세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공제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세무조정 미반영</x:t>
    </x:r>
  </x:si>
  <x:si>
    <x:t xml:space="preserve">https://s.nts.go.kr/nts/cm/cntnts/cntntsView.do?cntntsId=7746&amp;mi=2372</x:t>
  </x:si>
  <x:si>
    <x:r>
      <x:rPr>
        <x:sz val="10"/>
        <x:color rgb="FF243447"/>
        <x:rFont val="Arial"/>
      </x:rPr>
      <x:t xml:space="preserve">ChartMogul/ProductLed 2026 SaaS </x:t>
    </x:r>
    <x:r>
      <x:rPr>
        <x:sz val="10"/>
        <x:color rgb="FF243447"/>
        <x:rFont val="Linux Libertine G"/>
        <x:family val="2"/>
      </x:rPr>
      <x:t xml:space="preserve">전환 조사</x:t>
    </x:r>
  </x:si>
  <x:si>
    <x:r>
      <x:rPr>
        <x:sz val="10"/>
        <x:color rgb="FF243447"/>
        <x:rFont val="Arial"/>
      </x:rPr>
      <x:t xml:space="preserve">200</x:t>
    </x:r>
    <x:r>
      <x:rPr>
        <x:sz val="10"/>
        <x:color rgb="FF243447"/>
        <x:rFont val="Linux Libertine G"/>
        <x:family val="2"/>
      </x:rPr>
      <x:t xml:space="preserve">개 제품 중위</x:t>
    </x:r>
    <x:r>
      <x:rPr>
        <x:sz val="10"/>
        <x:color rgb="FF243447"/>
        <x:rFont val="Arial"/>
      </x:rPr>
      <x:t xml:space="preserve">: </x:t>
    </x:r>
    <x:r>
      <x:rPr>
        <x:sz val="10"/>
        <x:color rgb="FF243447"/>
        <x:rFont val="Linux Libertine G"/>
        <x:family val="2"/>
      </x:rPr>
      <x:t xml:space="preserve">무료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리드 가입자의 </x:t>
    </x:r>
    <x:r>
      <x:rPr>
        <x:sz val="10"/>
        <x:color rgb="FF243447"/>
        <x:rFont val="Arial"/>
      </x:rPr>
      <x:t xml:space="preserve">6</x:t>
    </x:r>
    <x:r>
      <x:rPr>
        <x:sz val="10"/>
        <x:color rgb="FF243447"/>
        <x:rFont val="Linux Libertine G"/>
        <x:family val="2"/>
      </x:rPr>
      <x:t xml:space="preserve">개월 내 유료 전환 </x:t>
    </x:r>
    <x:r>
      <x:rPr>
        <x:sz val="10"/>
        <x:color rgb="FF243447"/>
        <x:rFont val="Arial"/>
      </x:rPr>
      <x:t xml:space="preserve">8%. </x:t>
    </x:r>
    <x:r>
      <x:rPr>
        <x:sz val="10"/>
        <x:color rgb="FF243447"/>
        <x:rFont val="Linux Libertine G"/>
        <x:family val="2"/>
      </x:rPr>
      <x:t xml:space="preserve">카드 체험 월전환과 정의 다름</x:t>
    </x:r>
  </x:si>
  <x:si>
    <x:t xml:space="preserve">https://chartmogul.com/reports/saas-conversion-report/</x:t>
  </x:si>
  <x:si>
    <x:r>
      <x:rPr>
        <x:sz val="10"/>
        <x:color rgb="FF243447"/>
        <x:rFont val="Arial"/>
      </x:rPr>
      <x:t xml:space="preserve">ChartMogul 2023 SaaS </x:t>
    </x:r>
    <x:r>
      <x:rPr>
        <x:sz val="10"/>
        <x:color rgb="FF243447"/>
        <x:rFont val="Linux Libertine G"/>
        <x:family val="2"/>
      </x:rPr>
      <x:t xml:space="preserve">이탈 조사</x:t>
    </x:r>
  </x:si>
  <x:si>
    <x:r>
      <x:rPr>
        <x:sz val="10"/>
        <x:color rgb="FF243447"/>
        <x:rFont val="Arial"/>
      </x:rPr>
      <x:t xml:space="preserve">&lt;$300k ARR </x:t>
    </x:r>
    <x:r>
      <x:rPr>
        <x:sz val="10"/>
        <x:color rgb="FF243447"/>
        <x:rFont val="Linux Libertine G"/>
        <x:family val="2"/>
      </x:rPr>
      <x:t xml:space="preserve">월 고객 이탈 중위 </x:t>
    </x:r>
    <x:r>
      <x:rPr>
        <x:sz val="10"/>
        <x:color rgb="FF243447"/>
        <x:rFont val="Arial"/>
      </x:rPr>
      <x:t xml:space="preserve">6.4%; &lt;$25 ARPA 6.1%</x:t>
    </x:r>
  </x:si>
  <x:si>
    <x:t xml:space="preserve">https://chartmogul.com/reports/saas-benchmarks-report/saas-benchmarks-report-2023.pdf</x:t>
  </x:si>
  <x:si>
    <x:r>
      <x:rPr>
        <x:sz val="10"/>
        <x:color rgb="FF243447"/>
        <x:rFont val="Arial"/>
      </x:rPr>
      <x:t xml:space="preserve">My Yoga Teacher </x:t>
    </x:r>
    <x:r>
      <x:rPr>
        <x:sz val="10"/>
        <x:color rgb="FF243447"/>
        <x:rFont val="Linux Libertine G"/>
        <x:family val="2"/>
      </x:rPr>
      <x:t xml:space="preserve">추천 연구</x:t>
    </x:r>
  </x:si>
  <x:si>
    <x:r>
      <x:rPr>
        <x:sz val="10"/>
        <x:color rgb="FF243447"/>
        <x:rFont val="Linux Libertine G"/>
        <x:family val="2"/>
      </x:rPr>
      <x:t xml:space="preserve">추천 유입 고객의 이메일 공유 </x:t>
    </x:r>
    <x:r>
      <x:rPr>
        <x:sz val="10"/>
        <x:color rgb="FF243447"/>
        <x:rFont val="Arial"/>
      </x:rPr>
      <x:t xml:space="preserve">8.72%, </x:t>
    </x:r>
    <x:r>
      <x:rPr>
        <x:sz val="10"/>
        <x:color rgb="FF243447"/>
        <x:rFont val="Linux Libertine G"/>
        <x:family val="2"/>
      </x:rPr>
      <x:t xml:space="preserve">수신자 계정 생성 </x:t>
    </x:r>
    <x:r>
      <x:rPr>
        <x:sz val="10"/>
        <x:color rgb="FF243447"/>
        <x:rFont val="Arial"/>
      </x:rPr>
      <x:t xml:space="preserve">23.8%; </x:t>
    </x:r>
    <x:r>
      <x:rPr>
        <x:sz val="10"/>
        <x:color rgb="FF243447"/>
        <x:rFont val="Linux Libertine G"/>
        <x:family val="2"/>
      </x:rPr>
      <x:t xml:space="preserve">학생 </x:t>
    </x:r>
    <x:r>
      <x:rPr>
        <x:sz val="10"/>
        <x:color rgb="FF243447"/>
        <x:rFont val="Arial"/>
      </x:rPr>
      <x:t xml:space="preserve">SaaS </x:t>
    </x:r>
    <x:r>
      <x:rPr>
        <x:sz val="10"/>
        <x:color rgb="FF243447"/>
        <x:rFont val="Linux Libertine G"/>
        <x:family val="2"/>
      </x:rPr>
      <x:t xml:space="preserve">직접 비교 불가</x:t>
    </x:r>
  </x:si>
  <x:si>
    <x:t xml:space="preserve">https://faculty.wharton.upenn.edu/wp-content/uploads/2020/06/gershon-jiang-2024-express-referral-contagion-downstream-benefits-of-customer-referrals.pdf</x:t>
  </x:si>
  <x:si>
    <x:r>
      <x:rPr>
        <x:sz val="10"/>
        <x:color rgb="FF243447"/>
        <x:rFont val="Linux Libertine G"/>
        <x:family val="2"/>
      </x:rPr>
      <x:t xml:space="preserve">모델 가정 </x:t>
    </x:r>
    <x:r>
      <x:rPr>
        <x:sz val="10"/>
        <x:color rgb="FF243447"/>
        <x:rFont val="Arial"/>
      </x:rPr>
      <x:t xml:space="preserve">/ </x:t>
    </x:r>
    <x:r>
      <x:rPr>
        <x:sz val="10"/>
        <x:color rgb="FF243447"/>
        <x:rFont val="Linux Libertine G"/>
        <x:family val="2"/>
      </x:rPr>
      <x:t xml:space="preserve">미측정값</x:t>
    </x:r>
  </x:si>
  <x:si>
    <x:r>
      <x:rPr>
        <x:sz val="10"/>
        <x:color rgb="FF243447"/>
        <x:rFont val="Linux Libertine G"/>
        <x:family val="2"/>
      </x:rPr>
      <x:t xml:space="preserve">웨이트리스트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카드 등록률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유료 전환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토큰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분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이용량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급여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환율 등은 실측 전 가정</x:t>
    </x:r>
  </x:si>
  <x:si>
    <x:t xml:space="preserve">업데이트 우선순위</x:t>
  </x:si>
  <x:si>
    <x:r>
      <x:rPr>
        <x:sz val="10"/>
        <x:color rgb="FF243447"/>
        <x:rFont val="Arial"/>
      </x:rPr>
      <x:t xml:space="preserve">1. </x:t>
    </x:r>
    <x:r>
      <x:rPr>
        <x:sz val="10"/>
        <x:color rgb="FF243447"/>
        <x:rFont val="Linux Libertine G"/>
        <x:family val="2"/>
      </x:rPr>
      <x:t xml:space="preserve">실제 사전예약자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채널별 카드 등록률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체험 종료 유료 전환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취소율</x:t>
    </x:r>
  </x:si>
  <x:si>
    <x:r>
      <x:rPr>
        <x:sz val="10"/>
        <x:color rgb="FF243447"/>
        <x:rFont val="Arial"/>
      </x:rPr>
      <x:t xml:space="preserve">2. API </x:t>
    </x:r>
    <x:r>
      <x:rPr>
        <x:sz val="10"/>
        <x:color rgb="FF243447"/>
        <x:rFont val="Linux Libertine G"/>
        <x:family val="2"/>
      </x:rPr>
      <x:t xml:space="preserve">요청당 입력</x:t>
    </x:r>
    <x:r>
      <x:rPr>
        <x:sz val="10"/>
        <x:color rgb="FF243447"/>
        <x:rFont val="Arial"/>
      </x:rPr>
      <x:t xml:space="preserve">/</x:t>
    </x:r>
    <x:r>
      <x:rPr>
        <x:sz val="10"/>
        <x:color rgb="FF243447"/>
        <x:rFont val="Linux Libertine G"/>
        <x:family val="2"/>
      </x:rPr>
      <x:t xml:space="preserve">출력 토큰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요약 횟수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강의 분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모델 구성</x:t>
    </x:r>
  </x:si>
  <x:si>
    <x:r>
      <x:rPr>
        <x:sz val="10"/>
        <x:color rgb="FF243447"/>
        <x:rFont val="Arial"/>
      </x:rPr>
      <x:t xml:space="preserve">3. </x:t>
    </x:r>
    <x:r>
      <x:rPr>
        <x:sz val="10"/>
        <x:color rgb="FF243447"/>
        <x:rFont val="Linux Libertine G"/>
        <x:family val="2"/>
      </x:rPr>
      <x:t xml:space="preserve">결제사 자동결제 계약 요율</x:t>
    </x:r>
    <x:r>
      <x:rPr>
        <x:sz val="10"/>
        <x:color rgb="FF243447"/>
        <x:rFont val="Arial"/>
      </x:rPr>
      <x:t xml:space="preserve">, Vercel/Supabase </x:t>
    </x:r>
    <x:r>
      <x:rPr>
        <x:sz val="10"/>
        <x:color rgb="FF243447"/>
        <x:rFont val="Linux Libertine G"/>
        <x:family val="2"/>
      </x:rPr>
      <x:t xml:space="preserve">실제 청구서</x:t>
    </x:r>
    <x:r>
      <x:rPr>
        <x:sz val="10"/>
        <x:color rgb="FF243447"/>
        <x:rFont val="Arial"/>
      </x:rPr>
      <x:t xml:space="preserve">, </x:t>
    </x:r>
    <x:r>
      <x:rPr>
        <x:sz val="10"/>
        <x:color rgb="FF243447"/>
        <x:rFont val="Linux Libertine G"/>
        <x:family val="2"/>
      </x:rPr>
      <x:t xml:space="preserve">채널별 유입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인프라 사용량</x:t>
    </x:r>
  </x:si>
  <x:si>
    <x:r>
      <x:rPr>
        <x:sz val="10"/>
        <x:color rgb="FF243447"/>
        <x:rFont val="Linux Libertine G"/>
        <x:family val="2"/>
      </x:rPr>
      <x:t xml:space="preserve">월 단위 계획 모델입니다</x:t>
    </x:r>
    <x:r>
      <x:rPr>
        <x:sz val="10"/>
        <x:color rgb="FF243447"/>
        <x:rFont val="Arial"/>
      </x:rPr>
      <x:t xml:space="preserve">. 14</x:t>
    </x:r>
    <x:r>
      <x:rPr>
        <x:sz val="10"/>
        <x:color rgb="FF243447"/>
        <x:rFont val="Linux Libertine G"/>
        <x:family val="2"/>
      </x:rPr>
      <x:t xml:space="preserve">일 체험의 일별 기산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결제일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환불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부가세 매입세액은 별도 회계 장부에서 검증하세요</x:t>
    </x:r>
    <x:r>
      <x:rPr>
        <x:sz val="10"/>
        <x:color rgb="FF243447"/>
        <x:rFont val="Arial"/>
      </x:rPr>
      <x:t xml:space="preserve">.</x:t>
    </x:r>
  </x:si>
  <x:si>
    <x:t xml:space="preserve">P1a</x:t>
  </x:si>
  <x:si>
    <x:r>
      <x:rPr>
        <x:sz val="10"/>
        <x:color rgb="FF243447"/>
        <x:rFont val="Arial"/>
      </x:rPr>
      <x:t xml:space="preserve">Vercel Pro </x:t>
    </x:r>
    <x:r>
      <x:rPr>
        <x:sz val="10"/>
        <x:color rgb="FF243447"/>
        <x:rFont val="Linux Libertine G"/>
        <x:family val="2"/>
      </x:rPr>
      <x:t xml:space="preserve">포함량</x:t>
    </x:r>
  </x:si>
  <x:si>
    <x:r>
      <x:rPr>
        <x:sz val="10"/>
        <x:color rgb="FF243447"/>
        <x:rFont val="Arial"/>
      </x:rPr>
      <x:t xml:space="preserve">1TB Fast Data Transfer · 1</x:t>
    </x:r>
    <x:r>
      <x:rPr>
        <x:sz val="10"/>
        <x:color rgb="FF243447"/>
        <x:rFont val="Linux Libertine G"/>
        <x:family val="2"/>
      </x:rPr>
      <x:t xml:space="preserve">천만 </x:t>
    </x:r>
    <x:r>
      <x:rPr>
        <x:sz val="10"/>
        <x:color rgb="FF243447"/>
        <x:rFont val="Arial"/>
      </x:rPr>
      <x:t xml:space="preserve">Edge Requests</x:t>
    </x:r>
  </x:si>
  <x:si>
    <x:t xml:space="preserve">https://vercel.com/docs/plans/pro-plan</x:t>
  </x:si>
  <x:si>
    <x:t xml:space="preserve">P1b</x:t>
  </x:si>
  <x:si>
    <x:r>
      <x:rPr>
        <x:sz val="10"/>
        <x:color rgb="FF243447"/>
        <x:rFont val="Arial"/>
      </x:rPr>
      <x:t xml:space="preserve">Vercel </x:t>
    </x:r>
    <x:r>
      <x:rPr>
        <x:sz val="10"/>
        <x:color rgb="FF243447"/>
        <x:rFont val="Linux Libertine G"/>
        <x:family val="2"/>
      </x:rPr>
      <x:t xml:space="preserve">지역별 초과 단가</x:t>
    </x:r>
  </x:si>
  <x:si>
    <x:r>
      <x:rPr>
        <x:sz val="10"/>
        <x:color rgb="FF243447"/>
        <x:rFont val="Linux Libertine G"/>
        <x:family val="2"/>
      </x:rPr>
      <x:t xml:space="preserve">전송 </x:t>
    </x:r>
    <x:r>
      <x:rPr>
        <x:sz val="10"/>
        <x:color rgb="FF243447"/>
        <x:rFont val="Arial"/>
      </x:rPr>
      <x:t xml:space="preserve">$0.15~0.35/GB, Edge $2.00~3.20/</x:t>
    </x:r>
    <x:r>
      <x:rPr>
        <x:sz val="10"/>
        <x:color rgb="FF243447"/>
        <x:rFont val="Linux Libertine G"/>
        <x:family val="2"/>
      </x:rPr>
      <x:t xml:space="preserve">백만건</x:t>
    </x:r>
    <x:r>
      <x:rPr>
        <x:sz val="10"/>
        <x:color rgb="FF243447"/>
        <x:rFont val="Arial"/>
      </x:rPr>
      <x:t xml:space="preserve">. </x:t>
    </x:r>
    <x:r>
      <x:rPr>
        <x:sz val="10"/>
        <x:color rgb="FF243447"/>
        <x:rFont val="Linux Libertine G"/>
        <x:family val="2"/>
      </x:rPr>
      <x:t xml:space="preserve">상한 적용</x:t>
    </x:r>
  </x:si>
  <x:si>
    <x:t xml:space="preserve">https://vercel.com/docs/pricing/regional-pricing</x:t>
  </x:si>
  <x:si>
    <x:t xml:space="preserve">P2a</x:t>
  </x:si>
  <x:si>
    <x:r>
      <x:rPr>
        <x:sz val="10"/>
        <x:color rgb="FF243447"/>
        <x:rFont val="Arial"/>
      </x:rPr>
      <x:t xml:space="preserve">Supabase </x:t>
    </x:r>
    <x:r>
      <x:rPr>
        <x:sz val="10"/>
        <x:color rgb="FF243447"/>
        <x:rFont val="Linux Libertine G"/>
        <x:family val="2"/>
      </x:rPr>
      <x:t xml:space="preserve">요금 세목</x:t>
    </x:r>
  </x:si>
  <x:si>
    <x:r>
      <x:rPr>
        <x:sz val="10"/>
        <x:color rgb="FF243447"/>
        <x:rFont val="Linux Libertine G"/>
        <x:family val="2"/>
      </x:rPr>
      <x:t xml:space="preserve">무료</x:t>
    </x:r>
    <x:r>
      <x:rPr>
        <x:sz val="10"/>
        <x:color rgb="FF243447"/>
        <x:rFont val="Arial"/>
      </x:rPr>
      <x:t xml:space="preserve">·Pro </x:t>
    </x:r>
    <x:r>
      <x:rPr>
        <x:sz val="10"/>
        <x:color rgb="FF243447"/>
        <x:rFont val="Linux Libertine G"/>
        <x:family val="2"/>
      </x:rPr>
      <x:t xml:space="preserve">한도 및 </x:t>
    </x:r>
    <x:r>
      <x:rPr>
        <x:sz val="10"/>
        <x:color rgb="FF243447"/>
        <x:rFont val="Arial"/>
      </x:rPr>
      <x:t xml:space="preserve">MAU/DB/egress/storage </x:t>
    </x:r>
    <x:r>
      <x:rPr>
        <x:sz val="10"/>
        <x:color rgb="FF243447"/>
        <x:rFont val="Linux Libertine G"/>
        <x:family val="2"/>
      </x:rPr>
      <x:t xml:space="preserve">초과 단가</x:t>
    </x:r>
  </x:si>
  <x:si>
    <x:r>
      <x:rPr>
        <x:sz val="10"/>
        <x:color rgb="FF243447"/>
        <x:rFont val="Linux Libertine G"/>
        <x:family val="2"/>
      </x:rPr>
      <x:t xml:space="preserve">방문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요청</x:t>
    </x:r>
    <x:r>
      <x:rPr>
        <x:sz val="10"/>
        <x:color rgb="FF243447"/>
        <x:rFont val="Arial"/>
      </x:rPr>
      <x:t xml:space="preserve">·</x:t>
    </x:r>
    <x:r>
      <x:rPr>
        <x:sz val="10"/>
        <x:color rgb="FF243447"/>
        <x:rFont val="Linux Libertine G"/>
        <x:family val="2"/>
      </x:rPr>
      <x:t xml:space="preserve">데이터 사용량</x:t>
    </x:r>
  </x:si>
  <x:si>
    <x:r>
      <x:rPr>
        <x:sz val="10"/>
        <x:color rgb="FF243447"/>
        <x:rFont val="Linux Libertine G"/>
        <x:family val="2"/>
      </x:rPr>
      <x:t xml:space="preserve">실측 전 편집 가능한 가정</x:t>
    </x:r>
    <x:r>
      <x:rPr>
        <x:sz val="10"/>
        <x:color rgb="FF243447"/>
        <x:rFont val="Arial"/>
      </x:rPr>
      <x:t xml:space="preserve">. Vercel</x:t>
    </x:r>
    <x:r>
      <x:rPr>
        <x:sz val="10"/>
        <x:color rgb="FF243447"/>
        <x:rFont val="Linux Libertine G"/>
        <x:family val="2"/>
      </x:rPr>
      <x:t xml:space="preserve">은 랜딩 트래픽만 근사</x:t>
    </x:r>
  </x:si>
</x:sst>
</file>

<file path=xl/styles.xml><?xml version="1.0" encoding="utf-8"?>
<x:styleSheet xmlns:x="http://schemas.openxmlformats.org/spreadsheetml/2006/main">
  <x:numFmts count="17">
    <x:numFmt numFmtId="164" formatCode="General"/>
    <x:numFmt numFmtId="165" formatCode="#,##0.0;[RED]\(#,##0.0\);\–"/>
    <x:numFmt numFmtId="166" formatCode="#,##0\원;[RED]\(#,##0&quot;원)&quot;;\–"/>
    <x:numFmt numFmtId="167" formatCode="#,##0;[RED]\(#,##0\);\–"/>
    <x:numFmt numFmtId="168" formatCode="#,##0"/>
    <x:numFmt numFmtId="169" formatCode="0.00\x"/>
    <x:numFmt numFmtId="170" formatCode="0.0%;[RED]\(0.0%\);\–"/>
    <x:numFmt numFmtId="171" formatCode="0.00"/>
    <x:numFmt numFmtId="172" formatCode="0.00000"/>
    <x:numFmt numFmtId="173" formatCode="#,##0.####"/>
    <x:numFmt numFmtId="174" formatCode="0.0%"/>
    <x:numFmt numFmtId="175" formatCode="0.00;[RED]\(0.00\);\–"/>
    <x:numFmt numFmtId="176" formatCode="#,##0.###"/>
    <x:numFmt numFmtId="200" formatCode="0"/>
    <x:numFmt numFmtId="201" formatCode="0.000"/>
    <x:numFmt numFmtId="202" formatCode="0.0000"/>
    <x:numFmt numFmtId="203" formatCode="0.0"/>
  </x:numFmts>
  <x:fonts count="28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0"/>
      <x:color rgb="FF243447"/>
      <x:name val="Linux Libertine G"/>
    </x:font>
    <x:font>
      <x:b/>
      <x:sz val="15"/>
      <x:color rgb="FF17324D"/>
      <x:name val="Linux Libertine G"/>
    </x:font>
    <x:font>
      <x:b/>
      <x:sz val="15"/>
      <x:color rgb="FF17324D"/>
      <x:name val="Arial"/>
    </x:font>
    <x:font>
      <x:i/>
      <x:sz val="10"/>
      <x:color rgb="FF64748B"/>
      <x:name val="Linux Libertine G"/>
    </x:font>
    <x:font>
      <x:i/>
      <x:sz val="10"/>
      <x:color rgb="FF64748B"/>
      <x:name val="Arial"/>
    </x:font>
    <x:font>
      <x:b/>
      <x:sz val="10"/>
      <x:color rgb="FFFFFFFF"/>
      <x:name val="Linux Libertine G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1"/>
      <x:color rgb="FF17324D"/>
      <x:name val="Linux Libertine G"/>
    </x:font>
    <x:font>
      <x:b/>
      <x:sz val="11"/>
      <x:color rgb="FF17324D"/>
      <x:name val="Arial"/>
    </x:font>
    <x:font>
      <x:b/>
      <x:sz val="10"/>
      <x:color rgb="FF17324D"/>
      <x:name val="Linux Libertine G"/>
    </x:font>
    <x:font>
      <x:sz val="9"/>
      <x:color rgb="FF64748B"/>
      <x:name val="Linux Libertine G"/>
    </x:font>
    <x:font>
      <x:sz val="9"/>
      <x:color rgb="FF64748B"/>
      <x:name val="Arial"/>
    </x:font>
    <x:font>
      <x:b/>
      <x:sz val="9"/>
      <x:color rgb="FF000000"/>
      <x:name val="Arial"/>
    </x:font>
    <x:font>
      <x:sz val="6"/>
      <x:color rgb="FF000000"/>
      <x:name val="Arial"/>
    </x:font>
    <x:font>
      <x:sz val="10"/>
      <x:color rgb="FF000000"/>
      <x:name val="Arial"/>
    </x:font>
    <x:font>
      <x:b/>
      <x:sz val="10"/>
      <x:color rgb="FF17324D"/>
      <x:name val="Arial"/>
    </x:font>
    <x:font>
      <x:sz val="10"/>
      <x:color rgb="FF0057A5"/>
      <x:name val="Arial"/>
    </x:font>
    <x:font>
      <x:i/>
      <x:sz val="9"/>
      <x:color rgb="FF64748B"/>
      <x:name val="Arial"/>
    </x:font>
    <x:font>
      <x:i/>
      <x:sz val="9"/>
      <x:color rgb="FF64748B"/>
      <x:name val="Linux Libertine G"/>
    </x:font>
    <x:font>
      <x:sz val="10"/>
      <x:color rgb="FF1F2937"/>
      <x:name val="Arial"/>
    </x:font>
    <x:font>
      <x:sz val="10"/>
      <x:name val="Arial"/>
    </x:font>
    <x:font>
      <x:sz val="11"/>
      <x:name val="Linux Libertine G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FFF3D8"/>
      </x:patternFill>
    </x:fill>
    <x:fill>
      <x:patternFill patternType="solid">
        <x:fgColor rgb="FFFFF2CC"/>
      </x:patternFill>
    </x:fill>
  </x:fills>
  <x:borders count="2">
    <x:border diagonalUp="0" diagonalDown="0"/>
    <x:border diagonalUp="0" diagonalDown="0">
      <x:bottom style="thin">
        <x:color rgb="FFBAC9D7"/>
      </x:bottom>
    </x:border>
  </x:borders>
  <x:cellStyleXfs count="2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53">
    <x:xf numFmtId="164" fontId="0" fillId="0" borderId="0" xfId="0" applyFont="0" applyBorder="0" applyAlignment="0">
      <x:alignment horizontal="general" vertical="bottom" wrapText="0"/>
    </x:xf>
    <x:xf numFmtId="164" fontId="5" fillId="0" borderId="0" xfId="20" applyFont="1" applyBorder="0" applyAlignment="1">
      <x:alignment horizontal="general" vertical="center" wrapText="0"/>
    </x:xf>
    <x:xf numFmtId="164" fontId="6" fillId="0" borderId="0" xfId="20" applyFont="1" applyBorder="0" applyAlignment="1">
      <x:alignment horizontal="general" vertical="center" wrapText="0"/>
    </x:xf>
    <x:xf numFmtId="164" fontId="5" fillId="0" borderId="1" xfId="20" applyFont="1" applyBorder="1" applyAlignment="1">
      <x:alignment horizontal="general" vertical="center" wrapText="0"/>
    </x:xf>
    <x:xf numFmtId="164" fontId="8" fillId="0" borderId="0" xfId="20" applyFont="1" applyBorder="0" applyAlignment="1">
      <x:alignment horizontal="general" vertical="center" wrapText="0"/>
    </x:xf>
    <x:xf numFmtId="164" fontId="10" fillId="2" borderId="0" xfId="20" applyFont="1" applyBorder="0" applyAlignment="1">
      <x:alignment horizontal="general" vertical="center" wrapText="0"/>
    </x:xf>
    <x:xf numFmtId="164" fontId="11" fillId="2" borderId="0" xfId="20" applyFont="1" applyBorder="0" applyAlignment="1">
      <x:alignment horizontal="general" vertical="center" wrapText="0"/>
    </x:xf>
    <x:xf numFmtId="165" fontId="12" fillId="0" borderId="0" xfId="20" applyFont="1" applyBorder="0" applyAlignment="1">
      <x:alignment horizontal="general" vertical="center" wrapText="0"/>
    </x:xf>
    <x:xf numFmtId="166" fontId="12" fillId="0" borderId="0" xfId="20" applyFont="1" applyBorder="0" applyAlignment="1">
      <x:alignment horizontal="general" vertical="center" wrapText="0"/>
    </x:xf>
    <x:xf numFmtId="164" fontId="13" fillId="0" borderId="0" xfId="20" applyFont="1" applyBorder="0" applyAlignment="1">
      <x:alignment horizontal="general" vertical="center" wrapText="0"/>
    </x:xf>
    <x:xf numFmtId="164" fontId="15" fillId="3" borderId="0" xfId="20" applyFont="1" applyBorder="0" applyAlignment="1">
      <x:alignment horizontal="general" vertical="center" wrapText="0"/>
    </x:xf>
    <x:xf numFmtId="164" fontId="12" fillId="0" borderId="0" xfId="20" applyFont="1" applyBorder="0" applyAlignment="1">
      <x:alignment horizontal="general" vertical="center" wrapText="0"/>
    </x:xf>
    <x:xf numFmtId="167" fontId="12" fillId="0" borderId="0" xfId="20" applyFont="1" applyBorder="0" applyAlignment="1">
      <x:alignment horizontal="general" vertical="center" wrapText="0"/>
    </x:xf>
    <x:xf numFmtId="164" fontId="16" fillId="0" borderId="0" xfId="20" applyFont="1" applyBorder="0" applyAlignment="1">
      <x:alignment horizontal="general" vertical="center" wrapText="0"/>
    </x:xf>
    <x:xf numFmtId="164" fontId="17" fillId="0" borderId="0" xfId="20" applyFont="1" applyBorder="0" applyAlignment="1">
      <x:alignment horizontal="general" vertical="center" wrapText="0"/>
    </x:xf>
    <x:xf numFmtId="166" fontId="22" fillId="4" borderId="0" xfId="20" applyFont="1" applyBorder="0" applyAlignment="1">
      <x:alignment horizontal="general" vertical="center" wrapText="0"/>
    </x:xf>
    <x:xf numFmtId="169" fontId="22" fillId="4" borderId="0" xfId="20" applyFont="1" applyBorder="0" applyAlignment="1">
      <x:alignment horizontal="general" vertical="center" wrapText="0"/>
    </x:xf>
    <x:xf numFmtId="164" fontId="23" fillId="0" borderId="0" xfId="20" applyFont="1" applyBorder="0" applyAlignment="1">
      <x:alignment horizontal="general" vertical="center" wrapText="0"/>
    </x:xf>
    <x:xf numFmtId="165" fontId="22" fillId="4" borderId="0" xfId="20" applyFont="1" applyBorder="0" applyAlignment="1">
      <x:alignment horizontal="general" vertical="center" wrapText="0"/>
    </x:xf>
    <x:xf numFmtId="170" fontId="12" fillId="0" borderId="0" xfId="20" applyFont="1" applyBorder="0" applyAlignment="1">
      <x:alignment horizontal="general" vertical="center" wrapText="0"/>
    </x:xf>
    <x:xf numFmtId="170" fontId="22" fillId="4" borderId="0" xfId="20" applyFont="1" applyBorder="0" applyAlignment="1">
      <x:alignment horizontal="general" vertical="center" wrapText="0"/>
    </x:xf>
    <x:xf numFmtId="171" fontId="22" fillId="4" borderId="0" xfId="20" applyFont="1" applyBorder="0" applyAlignment="1">
      <x:alignment horizontal="general" vertical="center" wrapText="0"/>
    </x:xf>
    <x:xf numFmtId="172" fontId="22" fillId="4" borderId="0" xfId="20" applyFont="1" applyBorder="0" applyAlignment="1">
      <x:alignment horizontal="general" vertical="center" wrapText="0"/>
    </x:xf>
    <x:xf numFmtId="164" fontId="10" fillId="2" borderId="0" xfId="21" applyFont="1" applyBorder="1" applyAlignment="1">
      <x:alignment horizontal="general" vertical="center" wrapText="0"/>
    </x:xf>
    <x:xf numFmtId="173" fontId="25" fillId="5" borderId="0" xfId="21" applyFont="1" applyBorder="1" applyAlignment="1">
      <x:alignment horizontal="general" vertical="center" wrapText="0"/>
    </x:xf>
    <x:xf numFmtId="164" fontId="12" fillId="0" borderId="0" xfId="21" applyFont="1" applyBorder="1" applyAlignment="1">
      <x:alignment horizontal="general" vertical="center" wrapText="1"/>
    </x:xf>
    <x:xf numFmtId="164" fontId="5" fillId="0" borderId="0" xfId="21" applyFont="1" applyBorder="1" applyAlignment="1">
      <x:alignment horizontal="general" vertical="center" wrapText="1"/>
    </x:xf>
    <x:xf numFmtId="174" fontId="25" fillId="5" borderId="0" xfId="21" applyFont="1" applyBorder="1" applyAlignment="1">
      <x:alignment horizontal="general" vertical="center" wrapText="0"/>
    </x:xf>
    <x:xf numFmtId="164" fontId="26" fillId="0" borderId="0" xfId="0" applyFont="1" applyBorder="0" applyAlignment="0">
      <x:alignment horizontal="general" vertical="bottom" wrapText="0"/>
    </x:xf>
    <x:xf numFmtId="173" fontId="25" fillId="5" borderId="0" xfId="21" applyFont="1" applyBorder="1" applyAlignment="0">
      <x:alignment horizontal="general" vertical="bottom" wrapText="0"/>
    </x:xf>
    <x:xf numFmtId="164" fontId="4" fillId="0" borderId="0" xfId="21" applyFont="1" applyBorder="1" applyAlignment="1">
      <x:alignment horizontal="general" vertical="bottom" wrapText="1"/>
    </x:xf>
    <x:xf numFmtId="164" fontId="7" fillId="0" borderId="0" xfId="20" applyFont="1" applyBorder="0" applyAlignment="1">
      <x:alignment horizontal="general" vertical="center" wrapText="0"/>
    </x:xf>
    <x:xf numFmtId="165" fontId="21" fillId="3" borderId="0" xfId="20" applyFont="1" applyBorder="0" applyAlignment="1">
      <x:alignment horizontal="general" vertical="center" wrapText="0"/>
    </x:xf>
    <x:xf numFmtId="164" fontId="21" fillId="3" borderId="0" xfId="20" applyFont="1" applyBorder="0" applyAlignment="1">
      <x:alignment horizontal="general" vertical="center" wrapText="0"/>
    </x:xf>
    <x:xf numFmtId="167" fontId="21" fillId="3" borderId="0" xfId="20" applyFont="1" applyBorder="0" applyAlignment="1">
      <x:alignment horizontal="general" vertical="center" wrapText="0"/>
    </x:xf>
    <x:xf numFmtId="175" fontId="12" fillId="0" borderId="0" xfId="20" applyFont="1" applyBorder="0" applyAlignment="1">
      <x:alignment horizontal="general" vertical="center" wrapText="0"/>
    </x:xf>
    <x:xf numFmtId="176" fontId="12" fillId="0" borderId="0" xfId="21" applyFont="1" applyBorder="1" applyAlignment="1">
      <x:alignment horizontal="general" vertical="center" wrapText="0"/>
    </x:xf>
    <x:xf numFmtId="176" fontId="4" fillId="0" borderId="0" xfId="21" applyFont="1" applyBorder="1" applyAlignment="0">
      <x:alignment horizontal="general" vertical="bottom" wrapText="0"/>
    </x:xf>
    <x:xf numFmtId="164" fontId="12" fillId="0" borderId="0" xfId="20" applyFont="1" applyBorder="0" applyAlignment="1">
      <x:alignment horizontal="general" vertical="center" wrapText="1"/>
    </x:xf>
    <x:xf numFmtId="164" fontId="5" fillId="0" borderId="0" xfId="20" applyFont="1" applyBorder="0" applyAlignment="1">
      <x:alignment horizontal="general" vertical="center" wrapText="1"/>
    </x:xf>
    <x:xf numFmtId="168" fontId="12" fillId="0" borderId="0" xfId="0" applyNumberFormat="1" applyFont="1" applyFill="1" applyBorder="1" applyAlignment="1">
      <x:alignment horizontal="general" vertical="center" wrapText="0"/>
    </x:xf>
    <x:xf numFmtId="168" fontId="4" fillId="0" borderId="0" xfId="0" applyNumberFormat="1" applyFont="1" applyFill="1" applyBorder="1" applyAlignment="1">
      <x:alignment horizontal="general" vertical="bottom" wrapText="0"/>
    </x:xf>
    <x:xf numFmtId="200" fontId="12" fillId="0" borderId="0" xfId="0" applyNumberFormat="1" applyFont="1" applyFill="1" applyBorder="1" applyAlignment="1">
      <x:alignment horizontal="general" vertical="center" wrapText="0"/>
    </x:xf>
    <x:xf numFmtId="200" fontId="4" fillId="0" borderId="0" xfId="0" applyNumberFormat="1" applyFont="1" applyFill="1" applyBorder="1" applyAlignment="1">
      <x:alignment horizontal="general" vertical="bottom" wrapText="0"/>
    </x:xf>
    <x:xf numFmtId="201" fontId="12" fillId="0" borderId="0" xfId="0" applyNumberFormat="1" applyFont="1" applyFill="1" applyBorder="1" applyAlignment="1">
      <x:alignment horizontal="general" vertical="center" wrapText="0"/>
    </x:xf>
    <x:xf numFmtId="201" fontId="4" fillId="0" borderId="0" xfId="0" applyNumberFormat="1" applyFont="1" applyFill="1" applyBorder="1" applyAlignment="1">
      <x:alignment horizontal="general" vertical="bottom" wrapText="0"/>
    </x:xf>
    <x:xf numFmtId="171" fontId="4" fillId="0" borderId="0" xfId="0" applyNumberFormat="1" applyFont="1" applyFill="1" applyBorder="1" applyAlignment="1">
      <x:alignment horizontal="general" vertical="bottom" wrapText="0"/>
    </x:xf>
    <x:xf numFmtId="168" fontId="25" fillId="5" borderId="0" xfId="0" applyNumberFormat="1" applyFont="1" applyFill="1" applyBorder="1" applyAlignment="1">
      <x:alignment horizontal="general" vertical="center" wrapText="0"/>
    </x:xf>
    <x:xf numFmtId="168" fontId="25" fillId="5" borderId="0" xfId="0" applyNumberFormat="1" applyFont="1" applyFill="1" applyBorder="1" applyAlignment="1">
      <x:alignment horizontal="general" vertical="bottom" wrapText="0"/>
    </x:xf>
    <x:xf numFmtId="174" fontId="25" fillId="5" borderId="0" xfId="0" applyNumberFormat="1" applyFont="1" applyFill="1" applyBorder="1" applyAlignment="1">
      <x:alignment horizontal="general" vertical="center" wrapText="0"/>
    </x:xf>
    <x:xf numFmtId="202" fontId="25" fillId="5" borderId="0" xfId="0" applyNumberFormat="1" applyFont="1" applyFill="1" applyBorder="1" applyAlignment="1">
      <x:alignment horizontal="general" vertical="center" wrapText="0"/>
    </x:xf>
    <x:xf numFmtId="202" fontId="25" fillId="5" borderId="0" xfId="0" applyNumberFormat="1" applyFont="1" applyFill="1" applyBorder="1" applyAlignment="1">
      <x:alignment horizontal="general" vertical="bottom" wrapText="0"/>
    </x:xf>
    <x:xf numFmtId="203" fontId="25" fillId="5" borderId="0" xfId="0" applyNumberFormat="1" applyFont="1" applyFill="1" applyBorder="1" applyAlignment="1">
      <x:alignment horizontal="general" vertical="center" wrapText="0"/>
    </x:xf>
  </x:cellXfs>
  <x:cellStyles count="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  <x:cellStyle name="표준" xfId="2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F7B56"/>
      <x:rgbColor rgb="FFBAC9D7"/>
      <x:rgbColor rgb="FF8B8B8B"/>
      <x:rgbColor rgb="FF9999FF"/>
      <x:rgbColor rgb="FF993366"/>
      <x:rgbColor rgb="FFFFF2CC"/>
      <x:rgbColor rgb="FFE8F0F8"/>
      <x:rgbColor rgb="FF660066"/>
      <x:rgbColor rgb="FFFF8080"/>
      <x:rgbColor rgb="FF0057A5"/>
      <x:rgbColor rgb="FFCCCCCC"/>
      <x:rgbColor rgb="FF000080"/>
      <x:rgbColor rgb="FFFF00FF"/>
      <x:rgbColor rgb="FFFFFF00"/>
      <x:rgbColor rgb="FF00FFFF"/>
      <x:rgbColor rgb="FF800080"/>
      <x:rgbColor rgb="FF800000"/>
      <x:rgbColor rgb="FF2468A1"/>
      <x:rgbColor rgb="FF0000FF"/>
      <x:rgbColor rgb="FF00CCFF"/>
      <x:rgbColor rgb="FFCCFFFF"/>
      <x:rgbColor rgb="FFD9D9D9"/>
      <x:rgbColor rgb="FFFFF3D8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E3752E"/>
      <x:rgbColor rgb="FF64748B"/>
      <x:rgbColor rgb="FF969696"/>
      <x:rgbColor rgb="FF17324D"/>
      <x:rgbColor rgb="FF339966"/>
      <x:rgbColor rgb="FF003300"/>
      <x:rgbColor rgb="FF1F2937"/>
      <x:rgbColor rgb="FF993300"/>
      <x:rgbColor rgb="FF993366"/>
      <x:rgbColor rgb="FF333399"/>
      <x:rgbColor rgb="FF24344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3c788cc974cc7" /><Relationship Type="http://schemas.openxmlformats.org/officeDocument/2006/relationships/theme" Target="/xl/theme/theme1.xml" Id="R9067ee30872740e1" /><Relationship Type="http://schemas.openxmlformats.org/officeDocument/2006/relationships/sharedStrings" Target="/xl/sharedStrings.xml" Id="R75a1376f361d4c20" /><Relationship Type="http://schemas.openxmlformats.org/officeDocument/2006/relationships/worksheet" Target="/xl/worksheets/sheet1.xml" Id="R64dd760b814b44bb" /><Relationship Type="http://schemas.openxmlformats.org/officeDocument/2006/relationships/worksheet" Target="/xl/worksheets/sheet2.xml" Id="Rb3275865ac444121" /><Relationship Type="http://schemas.openxmlformats.org/officeDocument/2006/relationships/worksheet" Target="/xl/worksheets/sheet3.xml" Id="R2b132bf8465a469b" /><Relationship Type="http://schemas.openxmlformats.org/officeDocument/2006/relationships/worksheet" Target="/xl/worksheets/sheet4.xml" Id="Re3aef4b2d4774c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f1f3562c38474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월별 순매출 · 비용 · 순이익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"순매출"</c:f>
              <c:strCache>
                <c:ptCount val="1"/>
                <c:pt idx="0">
                  <c:v>순매출</c:v>
                </c:pt>
              </c:strCache>
            </c:strRef>
          </c:tx>
          <c:spPr>
            <a:solidFill xmlns:a="http://schemas.openxmlformats.org/drawingml/2006/main">
              <a:srgbClr val="2468A1"/>
            </a:solidFill>
            <a:ln xmlns:a="http://schemas.openxmlformats.org/drawingml/2006/main" w="19080">
              <a:solidFill>
                <a:srgbClr val="2468A1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Overview!$B$25:$B$48</c:f>
              <c:numCache>
                <c:formatCode>#,##0;[RED]\(#,##0\);\–</c:formatCode>
                <c:ptCount val="24"/>
                <c:pt idx="0">
                  <c:v>0</c:v>
                </c:pt>
                <c:pt idx="1">
                  <c:v>126654.545454545</c:v>
                </c:pt>
                <c:pt idx="2">
                  <c:v>176698.447772727</c:v>
                </c:pt>
                <c:pt idx="3">
                  <c:v>224869.089467455</c:v>
                </c:pt>
                <c:pt idx="4">
                  <c:v>271677.478635484</c:v>
                </c:pt>
                <c:pt idx="5">
                  <c:v>318444.854361087</c:v>
                </c:pt>
                <c:pt idx="6">
                  <c:v>365418.011483413</c:v>
                </c:pt>
                <c:pt idx="7">
                  <c:v>412751.825104903</c:v>
                </c:pt>
                <c:pt idx="8">
                  <c:v>460592.240574293</c:v>
                </c:pt>
                <c:pt idx="9">
                  <c:v>509083.690826002</c:v>
                </c:pt>
                <c:pt idx="10">
                  <c:v>558370.155503744</c:v>
                </c:pt>
                <c:pt idx="11">
                  <c:v>608595.677449657</c:v>
                </c:pt>
                <c:pt idx="12">
                  <c:v>659904.826582833</c:v>
                </c:pt>
                <c:pt idx="13">
                  <c:v>712443.153795722</c:v>
                </c:pt>
                <c:pt idx="14">
                  <c:v>766357.639872674</c:v>
                </c:pt>
                <c:pt idx="15">
                  <c:v>821797.141236693</c:v>
                </c:pt>
                <c:pt idx="16">
                  <c:v>878912.834029208</c:v>
                </c:pt>
                <c:pt idx="17">
                  <c:v>937858.657974586</c:v>
                </c:pt>
                <c:pt idx="18">
                  <c:v>998791.761453621</c:v>
                </c:pt>
                <c:pt idx="19">
                  <c:v>1061872.94918947</c:v>
                </c:pt>
                <c:pt idx="20">
                  <c:v>1127267.13393367</c:v>
                </c:pt>
                <c:pt idx="21">
                  <c:v>1195143.79352885</c:v>
                </c:pt>
                <c:pt idx="22">
                  <c:v>1265677.43471829</c:v>
                </c:pt>
                <c:pt idx="23">
                  <c:v>1339048.06507037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"전체 비용"</c:f>
              <c:strCache>
                <c:ptCount val="1"/>
                <c:pt idx="0">
                  <c:v>전체 비용</c:v>
                </c:pt>
              </c:strCache>
            </c:strRef>
          </c:tx>
          <c:spPr>
            <a:solidFill xmlns:a="http://schemas.openxmlformats.org/drawingml/2006/main">
              <a:srgbClr val="E3752E"/>
            </a:solidFill>
            <a:ln xmlns:a="http://schemas.openxmlformats.org/drawingml/2006/main" w="19080">
              <a:solidFill>
                <a:srgbClr val="E3752E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Overview!$C$25:$C$48</c:f>
              <c:numCache>
                <c:formatCode>#,##0;[RED]\(#,##0\);\–</c:formatCode>
                <c:ptCount val="24"/>
                <c:pt idx="0">
                  <c:v>566037.14061248</c:v>
                </c:pt>
                <c:pt idx="1">
                  <c:v>276941.03364448</c:v>
                </c:pt>
                <c:pt idx="2">
                  <c:v>280934.093819426</c:v>
                </c:pt>
                <c:pt idx="3">
                  <c:v>284679.227651424</c:v>
                </c:pt>
                <c:pt idx="4">
                  <c:v>288275.280640962</c:v>
                </c:pt>
                <c:pt idx="5">
                  <c:v>291812.851973853</c:v>
                </c:pt>
                <c:pt idx="6">
                  <c:v>295330.067457063</c:v>
                </c:pt>
                <c:pt idx="7">
                  <c:v>298854.259436617</c:v>
                </c:pt>
                <c:pt idx="8">
                  <c:v>302407.398383611</c:v>
                </c:pt>
                <c:pt idx="9">
                  <c:v>306007.909132405</c:v>
                </c:pt>
                <c:pt idx="10">
                  <c:v>309671.784014132</c:v>
                </c:pt>
                <c:pt idx="11">
                  <c:v>313413.357293401</c:v>
                </c:pt>
                <c:pt idx="12">
                  <c:v>427245.855392163</c:v>
                </c:pt>
                <c:pt idx="13">
                  <c:v>321181.791256546</c:v>
                </c:pt>
                <c:pt idx="14">
                  <c:v>325233.249753056</c:v>
                </c:pt>
                <c:pt idx="15">
                  <c:v>329412.096860517</c:v>
                </c:pt>
                <c:pt idx="16">
                  <c:v>333730.135616199</c:v>
                </c:pt>
                <c:pt idx="17">
                  <c:v>338199.224915218</c:v>
                </c:pt>
                <c:pt idx="18">
                  <c:v>342831.372461195</c:v>
                </c:pt>
                <c:pt idx="19">
                  <c:v>347638.809805479</c:v>
                </c:pt>
                <c:pt idx="20">
                  <c:v>352634.055059774</c:v>
                </c:pt>
                <c:pt idx="21">
                  <c:v>357829.967220554</c:v>
                </c:pt>
                <c:pt idx="22">
                  <c:v>363239.794891343</c:v>
                </c:pt>
                <c:pt idx="23">
                  <c:v>368877.221382694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"순이익"</c:f>
              <c:strCache>
                <c:ptCount val="1"/>
                <c:pt idx="0">
                  <c:v>순이익</c:v>
                </c:pt>
              </c:strCache>
            </c:strRef>
          </c:tx>
          <c:spPr>
            <a:solidFill xmlns:a="http://schemas.openxmlformats.org/drawingml/2006/main">
              <a:srgbClr val="0F7B56"/>
            </a:solidFill>
            <a:ln xmlns:a="http://schemas.openxmlformats.org/drawingml/2006/main" w="19080">
              <a:solidFill>
                <a:srgbClr val="0F7B56"/>
              </a:solidFill>
            </a:ln>
          </c:spPr>
          <c:marker>
            <c:symbol val="none"/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</c:dLbls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Overview!$D$25:$D$48</c:f>
              <c:numCache>
                <c:formatCode>#,##0;[RED]\(#,##0\);\–</c:formatCode>
                <c:ptCount val="24"/>
                <c:pt idx="0">
                  <c:v>-566037.14061248</c:v>
                </c:pt>
                <c:pt idx="1">
                  <c:v>-150286.488189935</c:v>
                </c:pt>
                <c:pt idx="2">
                  <c:v>-104235.646046699</c:v>
                </c:pt>
                <c:pt idx="3">
                  <c:v>-59810.138183969</c:v>
                </c:pt>
                <c:pt idx="4">
                  <c:v>-16597.8020054778</c:v>
                </c:pt>
                <c:pt idx="5">
                  <c:v>26632.0023872337</c:v>
                </c:pt>
                <c:pt idx="6">
                  <c:v>70087.9440263499</c:v>
                </c:pt>
                <c:pt idx="7">
                  <c:v>113897.565668286</c:v>
                </c:pt>
                <c:pt idx="8">
                  <c:v>158184.842190681</c:v>
                </c:pt>
                <c:pt idx="9">
                  <c:v>203075.781693597</c:v>
                </c:pt>
                <c:pt idx="10">
                  <c:v>248698.371489612</c:v>
                </c:pt>
                <c:pt idx="11">
                  <c:v>276780.616585663</c:v>
                </c:pt>
                <c:pt idx="12">
                  <c:v>209393.074071604</c:v>
                </c:pt>
                <c:pt idx="13">
                  <c:v>352135.226285258</c:v>
                </c:pt>
                <c:pt idx="14">
                  <c:v>397011.951107656</c:v>
                </c:pt>
                <c:pt idx="15">
                  <c:v>443146.539938559</c:v>
                </c:pt>
                <c:pt idx="16">
                  <c:v>490664.428571708</c:v>
                </c:pt>
                <c:pt idx="17">
                  <c:v>539693.489753431</c:v>
                </c:pt>
                <c:pt idx="18">
                  <c:v>590364.350093183</c:v>
                </c:pt>
                <c:pt idx="19">
                  <c:v>642810.725445591</c:v>
                </c:pt>
                <c:pt idx="20">
                  <c:v>697169.770986503</c:v>
                </c:pt>
                <c:pt idx="21">
                  <c:v>753582.443677468</c:v>
                </c:pt>
                <c:pt idx="22">
                  <c:v>812193.875844254</c:v>
                </c:pt>
                <c:pt idx="23">
                  <c:v>873153.75931891</c:v>
                </c:pt>
              </c:numCache>
            </c:numRef>
          </c:val>
          <c:smooth val="0"/>
        </c:ser>
        <c:axId val="81695925"/>
        <c:axId val="5345648"/>
      </c:lineChart>
      <c:catAx>
        <c:axId val="8169592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5345648"/>
        <c:crosses val="autoZero"/>
        <c:lblOffset val="100"/>
      </c:catAx>
      <c:valAx>
        <c:axId val="534564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 u="non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81695925"/>
        <c:crosses val="autoZero"/>
        <c:crossBetween val="between"/>
      </c:valAx>
      <c:spPr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16</xdr:col>
      <xdr:colOff>786600</xdr:colOff>
      <xdr:row>20</xdr:row>
      <xdr:rowOff>209160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f1f3562c3847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b19a83d7e44f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54296875" defaultRowHeight="14"/>
  <x:cols>
    <x:col min="1" max="1" width="37.189998626708984" hidden="0" customWidth="1"/>
    <x:col min="2" max="4" width="17.309999465942383" hidden="0" customWidth="1"/>
    <x:col min="5" max="5" width="2.5799999237060547" hidden="0" customWidth="1"/>
    <x:col min="6" max="17" width="13.319999694824219" hidden="0" customWidth="1"/>
    <x:col min="18" max="26" width="14.329999923706055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4" t="s">
        <x:v>1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6.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6.5" hidden="0" customHeight="1">
      <x:c r="A6" s="5" t="s">
        <x:v>2</x:v>
      </x:c>
      <x:c r="B6" s="6" t="s">
        <x:v>3</x:v>
      </x:c>
      <x:c r="C6" s="6" t="s">
        <x:v>4</x:v>
      </x:c>
      <x:c r="D6" s="6" t="s">
        <x:v>5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6.5" hidden="0" customHeight="1">
      <x:c r="A7" s="1" t="s">
        <x:v>6</x:v>
      </x:c>
      <x:c r="B7" s="7" t="n">
        <x:f aca="0">'Monthly Model'!H14</x:f>
        <x:v>25.525631250000007</x:v>
      </x:c>
      <x:c r="C7" s="7" t="n">
        <x:f aca="0">'Monthly Model'!N14</x:f>
        <x:v>34.206787162326286</x:v>
      </x:c>
      <x:c r="D7" s="7" t="n">
        <x:f aca="0">'Monthly Model'!Z14</x:f>
        <x:v>61.43047511835625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6.5" hidden="0" customHeight="1">
      <x:c r="A8" s="1" t="s">
        <x:v>7</x:v>
      </x:c>
      <x:c r="B8" s="7" t="n">
        <x:f aca="0">'Monthly Model'!H34</x:f>
        <x:v>18.08864898042816</x:v>
      </x:c>
      <x:c r="C8" s="7" t="n">
        <x:f aca="0">'Monthly Model'!N34</x:f>
        <x:v>34.58761449362853</x:v>
      </x:c>
      <x:c r="D8" s="7" t="n">
        <x:f aca="0">'Monthly Model'!Z34</x:f>
        <x:v>76.11727449999077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6.5" hidden="0" customHeight="1">
      <x:c r="A9" s="1" t="s">
        <x:v>8</x:v>
      </x:c>
      <x:c r="B9" s="8" t="n">
        <x:f aca="0">'Monthly Model'!H52</x:f>
        <x:v>318195.7797920772</x:v>
      </x:c>
      <x:c r="C9" s="8" t="n">
        <x:f aca="0">'Monthly Model'!N52</x:f>
        <x:v>608427.5822288292</x:v>
      </x:c>
      <x:c r="D9" s="8" t="n">
        <x:f aca="0">'Monthly Model'!Z52</x:f>
        <x:v>1338972.0559771105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6.5" hidden="0" customHeight="1">
      <x:c r="A10" s="1" t="s">
        <x:v>9</x:v>
      </x:c>
      <x:c r="B10" s="8" t="n">
        <x:f aca="0">'Monthly Model'!H74</x:f>
        <x:v>256786.42008655486</x:v>
      </x:c>
      <x:c r="C10" s="8" t="n">
        <x:f aca="0">'Monthly Model'!N74</x:f>
        <x:v>278401.64900696353</x:v>
      </x:c>
      <x:c r="D10" s="8" t="n">
        <x:f aca="0">'Monthly Model'!Z74</x:f>
        <x:v>333872.4931810618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.5" hidden="0" customHeight="1">
      <x:c r="A11" s="1" t="s">
        <x:v>10</x:v>
      </x:c>
      <x:c r="B11" s="8" t="n">
        <x:f aca="0">'Monthly Model'!H80</x:f>
        <x:v>61409.359705522336</x:v>
      </x:c>
      <x:c r="C11" s="8" t="n">
        <x:f aca="0">'Monthly Model'!N80</x:f>
        <x:v>297023.33989967906</x:v>
      </x:c>
      <x:c r="D11" s="8" t="n">
        <x:f aca="0">'Monthly Model'!Z80</x:f>
        <x:v>904589.6065164439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hidden="0" customHeight="1">
      <x:c r="A12" s="1" t="s">
        <x:v>11</x:v>
      </x:c>
      <x:c r="B12" s="8" t="n">
        <x:f aca="0">'Monthly Model'!H81</x:f>
        <x:v>-692131.5212646684</x:v>
      </x:c>
      <x:c r="C12" s="8" t="n">
        <x:f aca="0">'Monthly Model'!N81</x:f>
        <x:v>545305.2026264481</x:v>
      </x:c>
      <x:c r="D12" s="8" t="n">
        <x:f aca="0">'Monthly Model'!Z81</x:f>
        <x:v>7723490.541848633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6.5" hidden="0" customHeight="1">
      <x:c r="A13" s="1" t="s">
        <x:v>12</x:v>
      </x:c>
      <x:c r="B13" s="7" t="n">
        <x:f aca="0">'Monthly Model'!H11</x:f>
        <x:v>0</x:v>
      </x:c>
      <x:c r="C13" s="7" t="n">
        <x:f aca="0">'Monthly Model'!N11</x:f>
        <x:v>0</x:v>
      </x:c>
      <x:c r="D13" s="7" t="n">
        <x:f aca="0">'Monthly Model'!Z11</x:f>
        <x:v>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6.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6.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6.5" hidden="0" customHeight="1">
      <x:c r="A16" s="5" t="s">
        <x:v>13</x:v>
      </x:c>
      <x:c r="B16" s="6" t="s">
        <x:v>14</x:v>
      </x:c>
      <x:c r="C16" s="6" t="s">
        <x:v>15</x:v>
      </x:c>
      <x:c r="D16" s="6" t="s">
        <x:v>16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hidden="0" customHeight="1">
      <x:c r="A17" s="1" t="s">
        <x:v>17</x:v>
      </x:c>
      <x:c r="B17" s="7" t="n">
        <x:f aca="0">SUM('Monthly Model'!C14:N14)</x:f>
        <x:v>334.70837040885175</x:v>
      </x:c>
      <x:c r="C17" s="7" t="n">
        <x:f aca="0">SUM('Monthly Model'!O14:Z14)</x:f>
        <x:v>571.6974470766287</x:v>
      </x:c>
      <x:c r="D17" s="7" t="n">
        <x:f aca="0">B17+C17</x:f>
        <x:v>906.4058174854804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.5" hidden="0" customHeight="1">
      <x:c r="A18" s="1" t="s">
        <x:v>18</x:v>
      </x:c>
      <x:c r="B18" s="8" t="n">
        <x:f aca="0">SUM('Monthly Model'!C52:N52)</x:f>
        <x:v>4035156.340708331</x:v>
      </x:c>
      <x:c r="C18" s="8" t="n">
        <x:f aca="0">SUM('Monthly Model'!O52:Z52)</x:f>
        <x:v>11763728.631765727</x:v>
      </x:c>
      <x:c r="D18" s="8" t="n">
        <x:f aca="0">B18+C18</x:f>
        <x:v>15798884.972474057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hidden="0" customHeight="1">
      <x:c r="A19" s="1" t="s">
        <x:v>19</x:v>
      </x:c>
      <x:c r="B19" s="8" t="n">
        <x:f aca="0">SUM('Monthly Model'!C74:N74)</x:f>
        <x:v>3429261.6711233896</x:v>
      </x:c>
      <x:c r="C19" s="8" t="n">
        <x:f aca="0">SUM('Monthly Model'!O74:Z74)</x:f>
        <x:v>3787967.14374108</x:v>
      </x:c>
      <x:c r="D19" s="8" t="n">
        <x:f aca="0">B19+C19</x:f>
        <x:v>7217228.81486447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hidden="0" customHeight="1">
      <x:c r="A20" s="1" t="s">
        <x:v>20</x:v>
      </x:c>
      <x:c r="B20" s="8" t="n">
        <x:f aca="0">SUM('Monthly Model'!C80:N80)</x:f>
        <x:v>545305.2026264481</x:v>
      </x:c>
      <x:c r="C20" s="8" t="n">
        <x:f aca="0">SUM('Monthly Model'!O80:Z80)</x:f>
        <x:v>7178185.339222185</x:v>
      </x:c>
      <x:c r="D20" s="8" t="n">
        <x:f aca="0">B20+C20</x:f>
        <x:v>7723490.541848633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hidden="0" customHeight="1">
      <x:c r="A21" s="1" t="s">
        <x:v>21</x:v>
      </x:c>
      <x:c r="B21" s="7" t="n">
        <x:f aca="0">SUM('Monthly Model'!C11:N11)</x:f>
        <x:v>1.36584</x:v>
      </x:c>
      <x:c r="C21" s="7" t="n">
        <x:f aca="0">SUM('Monthly Model'!O11:Z11)</x:f>
        <x:v>0</x:v>
      </x:c>
      <x:c r="D21" s="7" t="n">
        <x:f aca="0">B21+C21</x:f>
        <x:v>1.36584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hidden="0" customHeight="1">
      <x:c r="A22" s="1" t="s">
        <x:v>22</x:v>
      </x:c>
      <x:c r="B22" s="7" t="n">
        <x:f aca="0">SUM('Monthly Model'!C43:N43)</x:f>
        <x:v>0.10038923999999998</x:v>
      </x:c>
      <x:c r="C22" s="7" t="n">
        <x:f aca="0">SUM('Monthly Model'!O43:Z43)</x:f>
        <x:v>0</x:v>
      </x:c>
      <x:c r="D22" s="7" t="n">
        <x:f aca="0">B22+C22</x:f>
        <x:v>0.10038923999999998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hidden="0" customHeight="1">
      <x:c r="A23" s="9" t="s">
        <x:v>23</x:v>
      </x:c>
      <x:c r="B23" s="1"/>
      <x:c r="C23" s="1"/>
      <x:c r="D23" s="1"/>
      <x:c r="E23" s="1"/>
      <x:c r="F23" s="9" t="s">
        <x:v>24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hidden="0" customHeight="1">
      <x:c r="A24" s="10" t="s">
        <x:v>25</x:v>
      </x:c>
      <x:c r="B24" s="10" t="s">
        <x:v>18</x:v>
      </x:c>
      <x:c r="C24" s="10" t="s">
        <x:v>19</x:v>
      </x:c>
      <x:c r="D24" s="10" t="s">
        <x:v>20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hidden="0" customHeight="1">
      <x:c r="A25" s="11" t="s">
        <x:v>26</x:v>
      </x:c>
      <x:c r="B25" s="12" t="n">
        <x:f aca="0">'Monthly Model'!C52</x:f>
        <x:v>0</x:v>
      </x:c>
      <x:c r="C25" s="12" t="n">
        <x:f aca="0">'Monthly Model'!C74</x:f>
        <x:v>566037.14061248</x:v>
      </x:c>
      <x:c r="D25" s="12" t="n">
        <x:f aca="0">'Monthly Model'!C80</x:f>
        <x:v>-566037.14061248</x:v>
      </x:c>
      <x:c r="E25" s="1"/>
      <x:c r="F25" s="13" t="s">
        <x:v>27</x:v>
      </x:c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hidden="0" customHeight="1">
      <x:c r="A26" s="11" t="s">
        <x:v>28</x:v>
      </x:c>
      <x:c r="B26" s="12" t="n">
        <x:f aca="0">'Monthly Model'!D52</x:f>
        <x:v>129392.97504545457</x:v>
      </x:c>
      <x:c r="C26" s="12" t="n">
        <x:f aca="0">'Monthly Model'!D74</x:f>
        <x:v>242023.08369829832</x:v>
      </x:c>
      <x:c r="D26" s="12" t="n">
        <x:f aca="0">'Monthly Model'!D80</x:f>
        <x:v>-112630.10865284374</x:v>
      </x:c>
      <x:c r="E26" s="1"/>
      <x:c r="F26" s="13" t="s">
        <x:v>29</x:v>
      </x:c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hidden="0" customHeight="1">
      <x:c r="A27" s="11" t="s">
        <x:v>30</x:v>
      </x:c>
      <x:c r="B27" s="12" t="n">
        <x:f aca="0">'Monthly Model'!E52</x:f>
        <x:v>177820.5988129091</x:v>
      </x:c>
      <x:c r="C27" s="12" t="n">
        <x:f aca="0">'Monthly Model'!E74</x:f>
        <x:v>245939.41653273022</x:v>
      </x:c>
      <x:c r="D27" s="12" t="n">
        <x:f aca="0">'Monthly Model'!E80</x:f>
        <x:v>-68118.81771982112</x:v>
      </x:c>
      <x:c r="E27" s="1"/>
      <x:c r="F27" s="13" t="s">
        <x:v>31</x:v>
      </x:c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hidden="0" customHeight="1">
      <x:c r="A28" s="11" t="s">
        <x:v>32</x:v>
      </x:c>
      <x:c r="B28" s="12" t="n">
        <x:f aca="0">'Monthly Model'!F52</x:f>
        <x:v>224711.6724327273</x:v>
      </x:c>
      <x:c r="C28" s="12" t="n">
        <x:f aca="0">'Monthly Model'!F74</x:f>
        <x:v>249644.16825852607</x:v>
      </x:c>
      <x:c r="D28" s="12" t="n">
        <x:f aca="0">'Monthly Model'!F80</x:f>
        <x:v>-24932.495825798775</x:v>
      </x:c>
      <x:c r="E28" s="1"/>
      <x:c r="F28" s="13" t="s">
        <x:v>33</x:v>
      </x:c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hidden="0" customHeight="1">
      <x:c r="A29" s="11" t="s">
        <x:v>34</x:v>
      </x:c>
      <x:c r="B29" s="12" t="n">
        <x:f aca="0">'Monthly Model'!G52</x:f>
        <x:v>271421.15380612365</x:v>
      </x:c>
      <x:c r="C29" s="12" t="n">
        <x:f aca="0">'Monthly Model'!G74</x:f>
        <x:v>253243.47196537073</x:v>
      </x:c>
      <x:c r="D29" s="12" t="n">
        <x:f aca="0">'Monthly Model'!G80</x:f>
        <x:v>18177.68184075292</x:v>
      </x:c>
      <x:c r="E29" s="1"/>
      <x:c r="F29" s="13" t="s">
        <x:v>35</x:v>
      </x:c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hidden="0" customHeight="1">
      <x:c r="A30" s="11" t="s">
        <x:v>3</x:v>
      </x:c>
      <x:c r="B30" s="12" t="n">
        <x:f aca="0">'Monthly Model'!H52</x:f>
        <x:v>318195.7797920772</x:v>
      </x:c>
      <x:c r="C30" s="12" t="n">
        <x:f aca="0">'Monthly Model'!H74</x:f>
        <x:v>256786.42008655486</x:v>
      </x:c>
      <x:c r="D30" s="12" t="n">
        <x:f aca="0">'Monthly Model'!H80</x:f>
        <x:v>61409.359705522336</x:v>
      </x:c>
      <x:c r="E30" s="1"/>
      <x:c r="F30" s="14" t="s">
        <x:v>36</x:v>
      </x:c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hidden="0" customHeight="1">
      <x:c r="A31" s="11" t="s">
        <x:v>37</x:v>
      </x:c>
      <x:c r="B31" s="12" t="n">
        <x:f aca="0">'Monthly Model'!I52</x:f>
        <x:v>365184.1087064071</x:v>
      </x:c>
      <x:c r="C31" s="12" t="n">
        <x:f aca="0">'Monthly Model'!I74</x:f>
        <x:v>260307.8873737972</x:v>
      </x:c>
      <x:c r="D31" s="12" t="n">
        <x:f aca="0">'Monthly Model'!I80</x:f>
        <x:v>104876.22133260989</x:v>
      </x:c>
      <x:c r="E31" s="1"/>
      <x:c r="F31" s="14" t="s">
        <x:v>38</x:v>
      </x:c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hidden="0" customHeight="1">
      <x:c r="A32" s="11" t="s">
        <x:v>39</x:v>
      </x:c>
      <x:c r="B32" s="12" t="n">
        <x:f aca="0">'Monthly Model'!J52</x:f>
        <x:v>412532.8275112708</x:v>
      </x:c>
      <x:c r="C32" s="12" t="n">
        <x:f aca="0">'Monthly Model'!J74</x:f>
        <x:v>263835.30959392106</x:v>
      </x:c>
      <x:c r="D32" s="12" t="n">
        <x:f aca="0">'Monthly Model'!J80</x:f>
        <x:v>148697.51791734976</x:v>
      </x:c>
      <x:c r="E32" s="1"/>
      <x:c r="F32" s="13" t="s">
        <x:v>40</x:v>
      </x:c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hidden="0" customHeight="1">
      <x:c r="A33" s="11" t="s">
        <x:v>41</x:v>
      </x:c>
      <x:c r="B33" s="12" t="n">
        <x:f aca="0">'Monthly Model'!K52</x:f>
        <x:v>460387.25340072706</x:v>
      </x:c>
      <x:c r="C33" s="12" t="n">
        <x:f aca="0">'Monthly Model'!K74</x:f>
        <x:v>267390.93039399746</x:v>
      </x:c>
      <x:c r="D33" s="12" t="n">
        <x:f aca="0">'Monthly Model'!K80</x:f>
        <x:v>192996.3230067296</x:v>
      </x:c>
      <x:c r="E33" s="1"/>
      <x:c r="F33" s="13" t="s">
        <x:v>42</x:v>
      </x:c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hidden="0" customHeight="1">
      <x:c r="A34" s="11" t="s">
        <x:v>43</x:v>
      </x:c>
      <x:c r="B34" s="12" t="n">
        <x:f aca="0">'Monthly Model'!L52</x:f>
        <x:v>508891.82237576705</x:v>
      </x:c>
      <x:c r="C34" s="12" t="n">
        <x:f aca="0">'Monthly Model'!L74</x:f>
        <x:v>270993.38356958004</x:v>
      </x:c>
      <x:c r="D34" s="12" t="n">
        <x:f aca="0">'Monthly Model'!L80</x:f>
        <x:v>237898.438806187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hidden="0" customHeight="1">
      <x:c r="A35" s="11" t="s">
        <x:v>44</x:v>
      </x:c>
      <x:c r="B35" s="12" t="n">
        <x:f aca="0">'Monthly Model'!M52</x:f>
        <x:v>558190.5665960388</x:v>
      </x:c>
      <x:c r="C35" s="12" t="n">
        <x:f aca="0">'Monthly Model'!M74</x:f>
        <x:v>274658.8100311699</x:v>
      </x:c>
      <x:c r="D35" s="12" t="n">
        <x:f aca="0">'Monthly Model'!M80</x:f>
        <x:v>255944.8829285612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hidden="0" customHeight="1">
      <x:c r="A36" s="11" t="s">
        <x:v>4</x:v>
      </x:c>
      <x:c r="B36" s="12" t="n">
        <x:f aca="0">'Monthly Model'!N52</x:f>
        <x:v>608427.5822288292</x:v>
      </x:c>
      <x:c r="C36" s="12" t="n">
        <x:f aca="0">'Monthly Model'!N74</x:f>
        <x:v>278401.64900696353</x:v>
      </x:c>
      <x:c r="D36" s="12" t="n">
        <x:f aca="0">'Monthly Model'!N80</x:f>
        <x:v>297023.33989967906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hidden="0" customHeight="1">
      <x:c r="A37" s="11" t="s">
        <x:v>45</x:v>
      </x:c>
      <x:c r="B37" s="12" t="n">
        <x:f aca="0">'Monthly Model'!O52</x:f>
        <x:v>659747.4894558677</x:v>
      </x:c>
      <x:c r="C37" s="12" t="n">
        <x:f aca="0">'Monthly Model'!O74</x:f>
        <x:v>392235.20118926605</x:v>
      </x:c>
      <x:c r="D37" s="12" t="n">
        <x:f aca="0">'Monthly Model'!O80</x:f>
        <x:v>240761.05943994145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hidden="0" customHeight="1">
      <x:c r="A38" s="11" t="s">
        <x:v>46</x:v>
      </x:c>
      <x:c r="B38" s="12" t="n">
        <x:f aca="0">'Monthly Model'!P52</x:f>
        <x:v>712295.88624486</x:v>
      </x:c>
      <x:c r="C38" s="12" t="n">
        <x:f aca="0">'Monthly Model'!P74</x:f>
        <x:v>286172.0322498878</x:v>
      </x:c>
      <x:c r="D38" s="12" t="n">
        <x:f aca="0">'Monthly Model'!P80</x:f>
        <x:v>383511.46859547496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hidden="0" customHeight="1">
      <x:c r="A39" s="11" t="s">
        <x:v>47</x:v>
      </x:c>
      <x:c r="B39" s="12" t="n">
        <x:f aca="0">'Monthly Model'!Q52</x:f>
        <x:v>766219.7974450653</x:v>
      </x:c>
      <x:c r="C39" s="12" t="n">
        <x:f aca="0">'Monthly Model'!Q74</x:f>
        <x:v>290224.26465190103</x:v>
      </x:c>
      <x:c r="D39" s="12" t="n">
        <x:f aca="0">'Monthly Model'!Q80</x:f>
        <x:v>428395.97951384785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hidden="0" customHeight="1">
      <x:c r="A40" s="11" t="s">
        <x:v>48</x:v>
      </x:c>
      <x:c r="B40" s="12" t="n">
        <x:f aca="0">'Monthly Model'!R52</x:f>
        <x:v>821668.1207244513</x:v>
      </x:c>
      <x:c r="C40" s="12" t="n">
        <x:f aca="0">'Monthly Model'!R74</x:f>
        <x:v>294403.7913361897</x:v>
      </x:c>
      <x:c r="D40" s="12" t="n">
        <x:f aca="0">'Monthly Model'!R80</x:f>
        <x:v>474537.8964494354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hidden="0" customHeight="1">
      <x:c r="A41" s="11" t="s">
        <x:v>49</x:v>
      </x:c>
      <x:c r="B41" s="12" t="n">
        <x:f aca="0">'Monthly Model'!S52</x:f>
        <x:v>878792.0708297499</x:v>
      </x:c>
      <x:c r="C41" s="12" t="n">
        <x:f aca="0">'Monthly Model'!S74</x:f>
        <x:v>298722.4348166774</x:v>
      </x:c>
      <x:c r="D41" s="12" t="n">
        <x:f aca="0">'Monthly Model'!S80</x:f>
        <x:v>522062.6724117652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hidden="0" customHeight="1">
      <x:c r="A42" s="11" t="s">
        <x:v>50</x:v>
      </x:c>
      <x:c r="B42" s="12" t="n">
        <x:f aca="0">'Monthly Model'!T52</x:f>
        <x:v>937745.6236198926</x:v>
      </x:c>
      <x:c r="C42" s="12" t="n">
        <x:f aca="0">'Monthly Model'!T74</x:f>
        <x:v>303192.0681867391</x:v>
      </x:c>
      <x:c r="D42" s="12" t="n">
        <x:f aca="0">'Monthly Model'!T80</x:f>
        <x:v>571098.1998898382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hidden="0" customHeight="1">
      <x:c r="A43" s="11" t="s">
        <x:v>51</x:v>
      </x:c>
      <x:c r="B43" s="12" t="n">
        <x:f aca="0">'Monthly Model'!U52</x:f>
        <x:v>998685.9612976286</x:v>
      </x:c>
      <x:c r="C43" s="12" t="n">
        <x:f aca="0">'Monthly Model'!U74</x:f>
        <x:v>307824.7096172507</x:v>
      </x:c>
      <x:c r="D43" s="12" t="n">
        <x:f aca="0">'Monthly Model'!U80</x:f>
        <x:v>621775.12651234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hidden="0" customHeight="1">
      <x:c r="A44" s="11" t="s">
        <x:v>52</x:v>
      </x:c>
      <x:c r="B44" s="12" t="n">
        <x:f aca="0">'Monthly Model'!V52</x:f>
        <x:v>1061773.9202434602</x:v>
      </x:c>
      <x:c r="C44" s="12" t="n">
        <x:f aca="0">'Monthly Model'!V74</x:f>
        <x:v>312632.5984812851</x:v>
      </x:c>
      <x:c r="D44" s="12" t="n">
        <x:f aca="0">'Monthly Model'!V80</x:f>
        <x:v>674227.1895859576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hidden="0" customHeight="1">
      <x:c r="A45" s="11" t="s">
        <x:v>53</x:v>
      </x:c>
      <x:c r="B45" s="12" t="n">
        <x:f aca="0">'Monthly Model'!W52</x:f>
        <x:v>1127174.442840202</x:v>
      </x:c>
      <x:c r="C45" s="12" t="n">
        <x:f aca="0">'Monthly Model'!W74</x:f>
        <x:v>317628.2588287447</x:v>
      </x:c>
      <x:c r="D45" s="12" t="n">
        <x:f aca="0">'Monthly Model'!W80</x:f>
        <x:v>728591.5656103115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11" t="s">
        <x:v>54</x:v>
      </x:c>
      <x:c r="B46" s="12" t="n">
        <x:f aca="0">'Monthly Model'!X52</x:f>
        <x:v>1195057.0346653687</x:v>
      </x:c>
      <x:c r="C46" s="12" t="n">
        <x:f aca="0">'Monthly Model'!X74</x:f>
        <x:v>322824.55424620264</x:v>
      </x:c>
      <x:c r="D46" s="12" t="n">
        <x:f aca="0">'Monthly Model'!X80</x:f>
        <x:v>785009.2323772495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hidden="0" customHeight="1">
      <x:c r="A47" s="11" t="s">
        <x:v>55</x:v>
      </x:c>
      <x:c r="B47" s="12" t="n">
        <x:f aca="0">'Monthly Model'!Y52</x:f>
        <x:v>1265596.2284220723</x:v>
      </x:c>
      <x:c r="C47" s="12" t="n">
        <x:f aca="0">'Monthly Model'!Y74</x:f>
        <x:v>328234.73695587396</x:v>
      </x:c>
      <x:c r="D47" s="12" t="n">
        <x:f aca="0">'Monthly Model'!Y80</x:f>
        <x:v>843625.3423195785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hidden="0" customHeight="1">
      <x:c r="A48" s="11" t="s">
        <x:v>5</x:v>
      </x:c>
      <x:c r="B48" s="12" t="n">
        <x:f aca="0">'Monthly Model'!Z52</x:f>
        <x:v>1338972.0559771105</x:v>
      </x:c>
      <x:c r="C48" s="12" t="n">
        <x:f aca="0">'Monthly Model'!Z74</x:f>
        <x:v>333872.4931810618</x:v>
      </x:c>
      <x:c r="D48" s="12" t="n">
        <x:f aca="0">'Monthly Model'!Z80</x:f>
        <x:v>904589.6065164439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</x:sheetData>
  <x:pageMargins left="0.7" right="0.7" top="0.75" bottom="0.75" header="0.3" footer="0.3"/>
  <x:drawing xmlns:r="http://schemas.openxmlformats.org/officeDocument/2006/relationships" r:id="R04b19a83d7e44f6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0.54296875" defaultRowHeight="14"/>
  <x:cols>
    <x:col min="1" max="1" width="41.18000030517578" hidden="0" customWidth="1"/>
    <x:col min="2" max="2" width="12.130000114440918" hidden="0" customWidth="1"/>
    <x:col min="3" max="3" width="15.119999885559082" hidden="0" customWidth="1"/>
    <x:col min="4" max="4" width="13.729999542236328" hidden="0" customWidth="1"/>
    <x:col min="5" max="5" width="10.9399995803833" hidden="0" customWidth="1"/>
    <x:col min="6" max="6" width="53.709999084472656" hidden="0" customWidth="1"/>
    <x:col min="7" max="18" width="8.550000190734863" hidden="0" customWidth="1"/>
    <x:col min="19" max="26" width="14.329999923706055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2" t="s">
        <x:v>56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5" t="s">
        <x:v>57</x:v>
      </x:c>
      <x:c r="B4" s="5" t="s">
        <x:v>58</x:v>
      </x:c>
      <x:c r="C4" s="5" t="s">
        <x:v>59</x:v>
      </x:c>
      <x:c r="D4" s="5" t="s">
        <x:v>60</x:v>
      </x:c>
      <x:c r="E4" s="5" t="s">
        <x:v>61</x:v>
      </x:c>
      <x:c r="F4" s="5" t="s">
        <x:v>62</x:v>
      </x:c>
      <x:c r="G4" s="1" t="s">
        <x:v>63</x:v>
      </x:c>
      <x:c r="H4" s="1" t="s">
        <x:v>64</x:v>
      </x:c>
      <x:c r="I4" s="1" t="s">
        <x:v>65</x:v>
      </x:c>
      <x:c r="J4" s="1" t="s">
        <x:v>66</x:v>
      </x:c>
      <x:c r="K4" s="1" t="s">
        <x:v>67</x:v>
      </x:c>
      <x:c r="L4" s="1" t="s">
        <x:v>68</x:v>
      </x:c>
      <x:c r="M4" s="1" t="s">
        <x:v>69</x:v>
      </x:c>
      <x:c r="N4" s="1" t="s">
        <x:v>70</x:v>
      </x:c>
      <x:c r="O4" s="1" t="s">
        <x:v>71</x:v>
      </x:c>
      <x:c r="P4" s="1" t="s">
        <x:v>72</x:v>
      </x:c>
      <x:c r="Q4" s="1" t="s">
        <x:v>73</x:v>
      </x:c>
      <x:c r="R4" s="1" t="s">
        <x:v>74</x:v>
      </x:c>
      <x:c r="S4" s="1"/>
      <x:c r="T4" s="1"/>
      <x:c r="U4" s="1"/>
      <x:c r="V4" s="1"/>
      <x:c r="W4" s="1"/>
      <x:c r="X4" s="1"/>
      <x:c r="Y4" s="1"/>
      <x:c r="Z4" s="1"/>
    </x:row>
    <x:row r="5" ht="16.5" hidden="0" customHeight="1">
      <x:c r="A5" s="10" t="s">
        <x:v>75</x:v>
      </x:c>
      <x:c r="B5" s="10"/>
      <x:c r="C5" s="10"/>
      <x:c r="D5" s="10"/>
      <x:c r="E5" s="10"/>
      <x:c r="F5" s="10"/>
      <x:c r="G5" s="1" t="s">
        <x:v>76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6.5" hidden="0" customHeight="1">
      <x:c r="A6" s="11" t="s">
        <x:v>77</x:v>
      </x:c>
      <x:c r="B6" s="1" t="s">
        <x:v>78</x:v>
      </x:c>
      <x:c r="C6" s="15" t="n">
        <x:v>21900</x:v>
      </x:c>
      <x:c r="D6" s="1" t="s">
        <x:v>79</x:v>
      </x:c>
      <x:c r="E6" s="11" t="s">
        <x:v>80</x:v>
      </x:c>
      <x:c r="F6" s="1" t="s">
        <x:v>81</x:v>
      </x:c>
      <x:c r="G6" s="16" t="n">
        <x:v>1</x:v>
      </x:c>
      <x:c r="H6" s="16" t="n">
        <x:v>1</x:v>
      </x:c>
      <x:c r="I6" s="16" t="n">
        <x:v>1</x:v>
      </x:c>
      <x:c r="J6" s="16" t="n">
        <x:v>1</x:v>
      </x:c>
      <x:c r="K6" s="16" t="n">
        <x:v>1</x:v>
      </x:c>
      <x:c r="L6" s="16" t="n">
        <x:v>1</x:v>
      </x:c>
      <x:c r="M6" s="16" t="n">
        <x:v>1</x:v>
      </x:c>
      <x:c r="N6" s="16" t="n">
        <x:v>1</x:v>
      </x:c>
      <x:c r="O6" s="16" t="n">
        <x:v>1</x:v>
      </x:c>
      <x:c r="P6" s="16" t="n">
        <x:v>1</x:v>
      </x:c>
      <x:c r="Q6" s="16" t="n">
        <x:v>1</x:v>
      </x:c>
      <x:c r="R6" s="16" t="n">
        <x:v>1</x:v>
      </x:c>
      <x:c r="S6" s="1"/>
      <x:c r="T6" s="1"/>
      <x:c r="U6" s="1"/>
      <x:c r="V6" s="1"/>
      <x:c r="W6" s="1"/>
      <x:c r="X6" s="1"/>
      <x:c r="Y6" s="1"/>
      <x:c r="Z6" s="1"/>
    </x:row>
    <x:row r="7" ht="16.5" hidden="0" customHeight="1">
      <x:c r="A7" s="11" t="s">
        <x:v>82</x:v>
      </x:c>
      <x:c r="B7" s="1" t="s">
        <x:v>78</x:v>
      </x:c>
      <x:c r="C7" s="15" t="n">
        <x:v>13900</x:v>
      </x:c>
      <x:c r="D7" s="1" t="s">
        <x:v>79</x:v>
      </x:c>
      <x:c r="E7" s="11" t="s">
        <x:v>80</x:v>
      </x:c>
      <x:c r="F7" s="1" t="s">
        <x:v>83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6.5" hidden="0" customHeight="1">
      <x:c r="A8" s="11" t="s">
        <x:v>84</x:v>
      </x:c>
      <x:c r="B8" s="1" t="s">
        <x:v>78</x:v>
      </x:c>
      <x:c r="C8" s="15" t="n">
        <x:v>28900</x:v>
      </x:c>
      <x:c r="D8" s="1" t="s">
        <x:v>79</x:v>
      </x:c>
      <x:c r="E8" s="11" t="s">
        <x:v>80</x:v>
      </x:c>
      <x:c r="F8" s="1" t="s">
        <x:v>81</x:v>
      </x:c>
      <x:c r="G8" s="17" t="s">
        <x:v>85</x:v>
      </x:c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"/>
      <x:c r="T8" s="1"/>
      <x:c r="U8" s="1"/>
      <x:c r="V8" s="1"/>
      <x:c r="W8" s="1"/>
      <x:c r="X8" s="1"/>
      <x:c r="Y8" s="1"/>
      <x:c r="Z8" s="1"/>
    </x:row>
    <x:row r="9" ht="16.5" hidden="0" customHeight="1">
      <x:c r="A9" s="1" t="s">
        <x:v>86</x:v>
      </x:c>
      <x:c r="B9" s="1" t="s">
        <x:v>87</x:v>
      </x:c>
      <x:c r="C9" s="18" t="n">
        <x:v>14</x:v>
      </x:c>
      <x:c r="D9" s="1" t="s">
        <x:v>79</x:v>
      </x:c>
      <x:c r="E9" s="11" t="s">
        <x:v>80</x:v>
      </x:c>
      <x:c r="F9" s="11" t="s">
        <x:v>88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6.5" hidden="0" customHeight="1">
      <x:c r="A10" s="1" t="s">
        <x:v>89</x:v>
      </x:c>
      <x:c r="B10" s="1" t="s">
        <x:v>90</x:v>
      </x:c>
      <x:c r="C10" s="18" t="n">
        <x:v>150</x:v>
      </x:c>
      <x:c r="D10" s="1" t="s">
        <x:v>79</x:v>
      </x:c>
      <x:c r="E10" s="11" t="s">
        <x:v>80</x:v>
      </x:c>
      <x:c r="F10" s="1" t="s">
        <x:v>91</x:v>
      </x:c>
      <x:c r="G10" s="1" t="s">
        <x:v>92</x:v>
      </x:c>
      <x:c r="H10" s="19" t="n">
        <x:f aca="0">SUM(C33,C34,C35)</x:f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6.5" hidden="0" customHeight="1">
      <x:c r="A11" s="11" t="s">
        <x:v>93</x:v>
      </x:c>
      <x:c r="B11" s="1" t="s">
        <x:v>94</x:v>
      </x:c>
      <x:c r="C11" s="18" t="n">
        <x:v>2</x:v>
      </x:c>
      <x:c r="D11" s="1" t="s">
        <x:v>79</x:v>
      </x:c>
      <x:c r="E11" s="11" t="s">
        <x:v>80</x:v>
      </x:c>
      <x:c r="F11" s="1" t="s">
        <x:v>95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6.5" hidden="0" customHeight="1">
      <x:c r="A12" s="1" t="s">
        <x:v>96</x:v>
      </x:c>
      <x:c r="B12" s="1" t="s">
        <x:v>97</x:v>
      </x:c>
      <x:c r="C12" s="18" t="n">
        <x:v>1</x:v>
      </x:c>
      <x:c r="D12" s="1" t="s">
        <x:v>79</x:v>
      </x:c>
      <x:c r="E12" s="11" t="s">
        <x:v>80</x:v>
      </x:c>
      <x:c r="F12" s="1" t="s">
        <x:v>98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6.5" hidden="0" customHeight="1">
      <x:c r="A13" s="1" t="s">
        <x:v>99</x:v>
      </x:c>
      <x:c r="B13" s="1" t="s">
        <x:v>97</x:v>
      </x:c>
      <x:c r="C13" s="18" t="n">
        <x:v>1</x:v>
      </x:c>
      <x:c r="D13" s="1" t="s">
        <x:v>79</x:v>
      </x:c>
      <x:c r="E13" s="11" t="s">
        <x:v>80</x:v>
      </x:c>
      <x:c r="F13" s="1" t="s">
        <x:v>100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6.5" hidden="0" customHeight="1">
      <x:c r="A14" s="10" t="s">
        <x:v>101</x:v>
      </x:c>
      <x:c r="B14" s="10"/>
      <x:c r="C14" s="10"/>
      <x:c r="D14" s="10"/>
      <x:c r="E14" s="10"/>
      <x:c r="F14" s="10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6.5" hidden="0" customHeight="1">
      <x:c r="A15" s="1" t="s">
        <x:v>102</x:v>
      </x:c>
      <x:c r="B15" s="1" t="s">
        <x:v>103</x:v>
      </x:c>
      <x:c r="C15" s="18" t="n">
        <x:v>25</x:v>
      </x:c>
      <x:c r="D15" s="1" t="s">
        <x:v>104</x:v>
      </x:c>
      <x:c r="E15" s="11" t="s">
        <x:v>105</x:v>
      </x:c>
      <x:c r="F15" s="1" t="s">
        <x:v>106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6.5" hidden="0" customHeight="1">
      <x:c r="A16" s="1" t="s">
        <x:v>107</x:v>
      </x:c>
      <x:c r="B16" s="11" t="s">
        <x:v>108</x:v>
      </x:c>
      <x:c r="C16" s="20" t="n">
        <x:v>0.6</x:v>
      </x:c>
      <x:c r="D16" s="1" t="s">
        <x:v>104</x:v>
      </x:c>
      <x:c r="E16" s="11" t="s">
        <x:v>105</x:v>
      </x:c>
      <x:c r="F16" s="1" t="s">
        <x:v>109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hidden="0" customHeight="1">
      <x:c r="A17" s="1" t="s">
        <x:v>110</x:v>
      </x:c>
      <x:c r="B17" s="11" t="s">
        <x:v>108</x:v>
      </x:c>
      <x:c r="C17" s="20" t="n">
        <x:v>0.7</x:v>
      </x:c>
      <x:c r="D17" s="1" t="s">
        <x:v>104</x:v>
      </x:c>
      <x:c r="E17" s="11" t="s">
        <x:v>105</x:v>
      </x:c>
      <x:c r="F17" s="1" t="s">
        <x:v>111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6.5" hidden="0" customHeight="1">
      <x:c r="A18" s="1" t="s">
        <x:v>112</x:v>
      </x:c>
      <x:c r="B18" s="1" t="s">
        <x:v>103</x:v>
      </x:c>
      <x:c r="C18" s="18" t="n">
        <x:v>20</x:v>
      </x:c>
      <x:c r="D18" s="1" t="s">
        <x:v>104</x:v>
      </x:c>
      <x:c r="E18" s="11" t="s">
        <x:v>105</x:v>
      </x:c>
      <x:c r="F18" s="1" t="s">
        <x:v>113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hidden="0" customHeight="1">
      <x:c r="A19" s="1" t="s">
        <x:v>114</x:v>
      </x:c>
      <x:c r="B19" s="11" t="s">
        <x:v>108</x:v>
      </x:c>
      <x:c r="C19" s="20" t="n">
        <x:v>0.05</x:v>
      </x:c>
      <x:c r="D19" s="1" t="s">
        <x:v>104</x:v>
      </x:c>
      <x:c r="E19" s="11" t="s">
        <x:v>105</x:v>
      </x:c>
      <x:c r="F19" s="1" t="s">
        <x:v>115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hidden="0" customHeight="1">
      <x:c r="A20" s="1" t="s">
        <x:v>116</x:v>
      </x:c>
      <x:c r="B20" s="11" t="s">
        <x:v>108</x:v>
      </x:c>
      <x:c r="C20" s="20" t="n">
        <x:v>0.6</x:v>
      </x:c>
      <x:c r="D20" s="1" t="s">
        <x:v>104</x:v>
      </x:c>
      <x:c r="E20" s="11" t="s">
        <x:v>117</x:v>
      </x:c>
      <x:c r="F20" s="1" t="s">
        <x:v>118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hidden="0" customHeight="1">
      <x:c r="A21" s="1" t="s">
        <x:v>119</x:v>
      </x:c>
      <x:c r="B21" s="11" t="s">
        <x:v>108</x:v>
      </x:c>
      <x:c r="C21" s="20" t="n">
        <x:v>0.2</x:v>
      </x:c>
      <x:c r="D21" s="1" t="s">
        <x:v>120</x:v>
      </x:c>
      <x:c r="E21" s="11" t="s">
        <x:v>121</x:v>
      </x:c>
      <x:c r="F21" s="1" t="s">
        <x:v>122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hidden="0" customHeight="1">
      <x:c r="A22" s="1" t="s">
        <x:v>123</x:v>
      </x:c>
      <x:c r="B22" s="11" t="s">
        <x:v>108</x:v>
      </x:c>
      <x:c r="C22" s="20" t="n">
        <x:v>0.3</x:v>
      </x:c>
      <x:c r="D22" s="1" t="s">
        <x:v>120</x:v>
      </x:c>
      <x:c r="E22" s="11" t="s">
        <x:v>121</x:v>
      </x:c>
      <x:c r="F22" s="1" t="s">
        <x:v>124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hidden="0" customHeight="1">
      <x:c r="A23" s="1" t="s">
        <x:v>125</x:v>
      </x:c>
      <x:c r="B23" s="11" t="s">
        <x:v>108</x:v>
      </x:c>
      <x:c r="C23" s="20" t="n">
        <x:v>0.7</x:v>
      </x:c>
      <x:c r="D23" s="1" t="s">
        <x:v>104</x:v>
      </x:c>
      <x:c r="E23" s="11" t="s">
        <x:v>105</x:v>
      </x:c>
      <x:c r="F23" s="1" t="s">
        <x:v>126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hidden="0" customHeight="1">
      <x:c r="A24" s="1" t="s">
        <x:v>127</x:v>
      </x:c>
      <x:c r="B24" s="11" t="s">
        <x:v>108</x:v>
      </x:c>
      <x:c r="C24" s="20" t="n">
        <x:v>0.25</x:v>
      </x:c>
      <x:c r="D24" s="1" t="s">
        <x:v>104</x:v>
      </x:c>
      <x:c r="E24" s="11" t="s">
        <x:v>117</x:v>
      </x:c>
      <x:c r="F24" s="1" t="s">
        <x:v>128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hidden="0" customHeight="1">
      <x:c r="A25" s="1" t="s">
        <x:v>129</x:v>
      </x:c>
      <x:c r="B25" s="11" t="s">
        <x:v>108</x:v>
      </x:c>
      <x:c r="C25" s="20" t="n">
        <x:v>0.25</x:v>
      </x:c>
      <x:c r="D25" s="1" t="s">
        <x:v>104</x:v>
      </x:c>
      <x:c r="E25" s="11" t="s">
        <x:v>117</x:v>
      </x:c>
      <x:c r="F25" s="1" t="s">
        <x:v>130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hidden="0" customHeight="1">
      <x:c r="A26" s="1" t="s">
        <x:v>131</x:v>
      </x:c>
      <x:c r="B26" s="11" t="s">
        <x:v>108</x:v>
      </x:c>
      <x:c r="C26" s="20" t="n">
        <x:v>0.4</x:v>
      </x:c>
      <x:c r="D26" s="1" t="s">
        <x:v>104</x:v>
      </x:c>
      <x:c r="E26" s="11" t="s">
        <x:v>105</x:v>
      </x:c>
      <x:c r="F26" s="1" t="s">
        <x:v>132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hidden="0" customHeight="1">
      <x:c r="A27" s="10" t="s">
        <x:v>133</x:v>
      </x:c>
      <x:c r="B27" s="10"/>
      <x:c r="C27" s="10"/>
      <x:c r="D27" s="10"/>
      <x:c r="E27" s="10"/>
      <x:c r="F27" s="10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hidden="0" customHeight="1">
      <x:c r="A28" s="11" t="s">
        <x:v>134</x:v>
      </x:c>
      <x:c r="B28" s="11" t="s">
        <x:v>108</x:v>
      </x:c>
      <x:c r="C28" s="20" t="n">
        <x:v>0.064</x:v>
      </x:c>
      <x:c r="D28" s="1" t="s">
        <x:v>135</x:v>
      </x:c>
      <x:c r="E28" s="11" t="s">
        <x:v>136</x:v>
      </x:c>
      <x:c r="F28" s="1" t="s">
        <x:v>137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hidden="0" customHeight="1">
      <x:c r="A29" s="1" t="s">
        <x:v>138</x:v>
      </x:c>
      <x:c r="B29" s="11" t="s">
        <x:v>108</x:v>
      </x:c>
      <x:c r="C29" s="20" t="n">
        <x:v>0.064</x:v>
      </x:c>
      <x:c r="D29" s="1" t="s">
        <x:v>135</x:v>
      </x:c>
      <x:c r="E29" s="11" t="s">
        <x:v>136</x:v>
      </x:c>
      <x:c r="F29" s="1" t="s">
        <x:v>139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hidden="0" customHeight="1">
      <x:c r="A30" s="11" t="s">
        <x:v>140</x:v>
      </x:c>
      <x:c r="B30" s="11" t="s">
        <x:v>108</x:v>
      </x:c>
      <x:c r="C30" s="20" t="n">
        <x:v>0.064</x:v>
      </x:c>
      <x:c r="D30" s="1" t="s">
        <x:v>135</x:v>
      </x:c>
      <x:c r="E30" s="11" t="s">
        <x:v>136</x:v>
      </x:c>
      <x:c r="F30" s="1" t="s">
        <x:v>141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hidden="0" customHeight="1">
      <x:c r="A31" s="11" t="s">
        <x:v>142</x:v>
      </x:c>
      <x:c r="B31" s="11" t="s">
        <x:v>108</x:v>
      </x:c>
      <x:c r="C31" s="20" t="n">
        <x:v>0.3</x:v>
      </x:c>
      <x:c r="D31" s="1" t="s">
        <x:v>104</x:v>
      </x:c>
      <x:c r="E31" s="11" t="s">
        <x:v>105</x:v>
      </x:c>
      <x:c r="F31" s="11" t="s">
        <x:v>143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hidden="0" customHeight="1">
      <x:c r="A32" s="1" t="s">
        <x:v>144</x:v>
      </x:c>
      <x:c r="B32" s="11" t="s">
        <x:v>108</x:v>
      </x:c>
      <x:c r="C32" s="20" t="n">
        <x:v>0.3</x:v>
      </x:c>
      <x:c r="D32" s="1" t="s">
        <x:v>104</x:v>
      </x:c>
      <x:c r="E32" s="11" t="s">
        <x:v>105</x:v>
      </x:c>
      <x:c r="F32" s="1" t="s">
        <x:v>145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hidden="0" customHeight="1">
      <x:c r="A33" s="1" t="s">
        <x:v>146</x:v>
      </x:c>
      <x:c r="B33" s="11" t="s">
        <x:v>108</x:v>
      </x:c>
      <x:c r="C33" s="20" t="n">
        <x:v>0.4</x:v>
      </x:c>
      <x:c r="D33" s="1" t="s">
        <x:v>104</x:v>
      </x:c>
      <x:c r="E33" s="11" t="s">
        <x:v>105</x:v>
      </x:c>
      <x:c r="F33" s="1" t="s">
        <x:v>147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hidden="0" customHeight="1">
      <x:c r="A34" s="1" t="s">
        <x:v>148</x:v>
      </x:c>
      <x:c r="B34" s="11" t="s">
        <x:v>108</x:v>
      </x:c>
      <x:c r="C34" s="20" t="n">
        <x:v>0.45</x:v>
      </x:c>
      <x:c r="D34" s="1" t="s">
        <x:v>104</x:v>
      </x:c>
      <x:c r="E34" s="11" t="s">
        <x:v>105</x:v>
      </x:c>
      <x:c r="F34" s="1" t="s">
        <x:v>149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hidden="0" customHeight="1">
      <x:c r="A35" s="1" t="s">
        <x:v>150</x:v>
      </x:c>
      <x:c r="B35" s="11" t="s">
        <x:v>108</x:v>
      </x:c>
      <x:c r="C35" s="20" t="n">
        <x:v>0.15</x:v>
      </x:c>
      <x:c r="D35" s="1" t="s">
        <x:v>104</x:v>
      </x:c>
      <x:c r="E35" s="11" t="s">
        <x:v>105</x:v>
      </x:c>
      <x:c r="F35" s="1" t="s">
        <x:v>151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hidden="0" customHeight="1">
      <x:c r="A36" s="1" t="s">
        <x:v>152</x:v>
      </x:c>
      <x:c r="B36" s="11" t="s">
        <x:v>108</x:v>
      </x:c>
      <x:c r="C36" s="20" t="n">
        <x:v>0.7</x:v>
      </x:c>
      <x:c r="D36" s="1" t="s">
        <x:v>104</x:v>
      </x:c>
      <x:c r="E36" s="11" t="s">
        <x:v>105</x:v>
      </x:c>
      <x:c r="F36" s="1" t="s">
        <x:v>153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hidden="0" customHeight="1">
      <x:c r="A37" s="10" t="s">
        <x:v>154</x:v>
      </x:c>
      <x:c r="B37" s="10"/>
      <x:c r="C37" s="10"/>
      <x:c r="D37" s="10"/>
      <x:c r="E37" s="10"/>
      <x:c r="F37" s="10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hidden="0" customHeight="1">
      <x:c r="A38" s="11" t="s">
        <x:v>155</x:v>
      </x:c>
      <x:c r="B38" s="1" t="s">
        <x:v>90</x:v>
      </x:c>
      <x:c r="C38" s="18" t="n">
        <x:v>200</x:v>
      </x:c>
      <x:c r="D38" s="1" t="s">
        <x:v>104</x:v>
      </x:c>
      <x:c r="E38" s="11" t="s">
        <x:v>105</x:v>
      </x:c>
      <x:c r="F38" s="1" t="s">
        <x:v>156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hidden="0" customHeight="1">
      <x:c r="A39" s="1" t="s">
        <x:v>157</x:v>
      </x:c>
      <x:c r="B39" s="1" t="s">
        <x:v>90</x:v>
      </x:c>
      <x:c r="C39" s="18" t="n">
        <x:v>200</x:v>
      </x:c>
      <x:c r="D39" s="1" t="s">
        <x:v>104</x:v>
      </x:c>
      <x:c r="E39" s="11" t="s">
        <x:v>105</x:v>
      </x:c>
      <x:c r="F39" s="1" t="s">
        <x:v>156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hidden="0" customHeight="1">
      <x:c r="A40" s="11" t="s">
        <x:v>158</x:v>
      </x:c>
      <x:c r="B40" s="1" t="s">
        <x:v>90</x:v>
      </x:c>
      <x:c r="C40" s="18" t="n">
        <x:v>400</x:v>
      </x:c>
      <x:c r="D40" s="1" t="s">
        <x:v>104</x:v>
      </x:c>
      <x:c r="E40" s="11" t="s">
        <x:v>105</x:v>
      </x:c>
      <x:c r="F40" s="1" t="s">
        <x:v>156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hidden="0" customHeight="1">
      <x:c r="A41" s="1" t="s">
        <x:v>159</x:v>
      </x:c>
      <x:c r="B41" s="1" t="s">
        <x:v>90</x:v>
      </x:c>
      <x:c r="C41" s="18" t="n">
        <x:v>80</x:v>
      </x:c>
      <x:c r="D41" s="1" t="s">
        <x:v>104</x:v>
      </x:c>
      <x:c r="E41" s="11" t="s">
        <x:v>105</x:v>
      </x:c>
      <x:c r="F41" s="11" t="s">
        <x:v>160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hidden="0" customHeight="1">
      <x:c r="A42" s="1" t="s">
        <x:v>161</x:v>
      </x:c>
      <x:c r="B42" s="1" t="s">
        <x:v>90</x:v>
      </x:c>
      <x:c r="C42" s="18" t="n">
        <x:v>200</x:v>
      </x:c>
      <x:c r="D42" s="1" t="s">
        <x:v>104</x:v>
      </x:c>
      <x:c r="E42" s="11" t="s">
        <x:v>105</x:v>
      </x:c>
      <x:c r="F42" s="1" t="s">
        <x:v>162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hidden="0" customHeight="1">
      <x:c r="A43" s="11" t="s">
        <x:v>163</x:v>
      </x:c>
      <x:c r="B43" s="1" t="s">
        <x:v>90</x:v>
      </x:c>
      <x:c r="C43" s="18" t="n">
        <x:v>60</x:v>
      </x:c>
      <x:c r="D43" s="1" t="s">
        <x:v>104</x:v>
      </x:c>
      <x:c r="E43" s="11" t="s">
        <x:v>105</x:v>
      </x:c>
      <x:c r="F43" s="1" t="s">
        <x:v>164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hidden="0" customHeight="1">
      <x:c r="A44" s="1" t="s">
        <x:v>165</x:v>
      </x:c>
      <x:c r="B44" s="11" t="s">
        <x:v>108</x:v>
      </x:c>
      <x:c r="C44" s="20" t="n">
        <x:v>1</x:v>
      </x:c>
      <x:c r="D44" s="1" t="s">
        <x:v>104</x:v>
      </x:c>
      <x:c r="E44" s="11" t="s">
        <x:v>105</x:v>
      </x:c>
      <x:c r="F44" s="1" t="s">
        <x:v>166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hidden="0" customHeight="1">
      <x:c r="A45" s="1" t="s">
        <x:v>167</x:v>
      </x:c>
      <x:c r="B45" s="1" t="s">
        <x:v>168</x:v>
      </x:c>
      <x:c r="C45" s="18" t="n">
        <x:v>500</x:v>
      </x:c>
      <x:c r="D45" s="1" t="s">
        <x:v>104</x:v>
      </x:c>
      <x:c r="E45" s="11" t="s">
        <x:v>105</x:v>
      </x:c>
      <x:c r="F45" s="1" t="s">
        <x:v>169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1" t="s">
        <x:v>170</x:v>
      </x:c>
      <x:c r="B46" s="1" t="s">
        <x:v>168</x:v>
      </x:c>
      <x:c r="C46" s="18" t="n">
        <x:v>100</x:v>
      </x:c>
      <x:c r="D46" s="1" t="s">
        <x:v>104</x:v>
      </x:c>
      <x:c r="E46" s="11" t="s">
        <x:v>105</x:v>
      </x:c>
      <x:c r="F46" s="1" t="s">
        <x:v>171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hidden="0" customHeight="1">
      <x:c r="A47" s="1" t="s">
        <x:v>172</x:v>
      </x:c>
      <x:c r="B47" s="1" t="s">
        <x:v>173</x:v>
      </x:c>
      <x:c r="C47" s="18" t="n">
        <x:v>1.2</x:v>
      </x:c>
      <x:c r="D47" s="1" t="s">
        <x:v>104</x:v>
      </x:c>
      <x:c r="E47" s="11" t="s">
        <x:v>105</x:v>
      </x:c>
      <x:c r="F47" s="1" t="s">
        <x:v>174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hidden="0" customHeight="1">
      <x:c r="A48" s="11" t="s">
        <x:v>175</x:v>
      </x:c>
      <x:c r="B48" s="11" t="s">
        <x:v>108</x:v>
      </x:c>
      <x:c r="C48" s="20" t="n">
        <x:v>0.5</x:v>
      </x:c>
      <x:c r="D48" s="1" t="s">
        <x:v>104</x:v>
      </x:c>
      <x:c r="E48" s="11" t="s">
        <x:v>105</x:v>
      </x:c>
      <x:c r="F48" s="1" t="s">
        <x:v>176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hidden="0" customHeight="1">
      <x:c r="A49" s="11" t="s">
        <x:v>177</x:v>
      </x:c>
      <x:c r="B49" s="11" t="s">
        <x:v>178</x:v>
      </x:c>
      <x:c r="C49" s="21" t="n">
        <x:v>0.1</x:v>
      </x:c>
      <x:c r="D49" s="1" t="s">
        <x:v>179</x:v>
      </x:c>
      <x:c r="E49" s="11" t="s">
        <x:v>180</x:v>
      </x:c>
      <x:c r="F49" s="11" t="s">
        <x:v>181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hidden="0" customHeight="1">
      <x:c r="A50" s="11" t="s">
        <x:v>182</x:v>
      </x:c>
      <x:c r="B50" s="11" t="s">
        <x:v>178</x:v>
      </x:c>
      <x:c r="C50" s="21" t="n">
        <x:v>0.4</x:v>
      </x:c>
      <x:c r="D50" s="1" t="s">
        <x:v>179</x:v>
      </x:c>
      <x:c r="E50" s="11" t="s">
        <x:v>180</x:v>
      </x:c>
      <x:c r="F50" s="11" t="s">
        <x:v>181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hidden="0" customHeight="1">
      <x:c r="A51" s="11" t="s">
        <x:v>183</x:v>
      </x:c>
      <x:c r="B51" s="11" t="s">
        <x:v>178</x:v>
      </x:c>
      <x:c r="C51" s="21" t="n">
        <x:v>1.5</x:v>
      </x:c>
      <x:c r="D51" s="1" t="s">
        <x:v>184</x:v>
      </x:c>
      <x:c r="E51" s="11" t="s">
        <x:v>185</x:v>
      </x:c>
      <x:c r="F51" s="11" t="s">
        <x:v>186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hidden="0" customHeight="1">
      <x:c r="A52" s="11" t="s">
        <x:v>187</x:v>
      </x:c>
      <x:c r="B52" s="11" t="s">
        <x:v>178</x:v>
      </x:c>
      <x:c r="C52" s="21" t="n">
        <x:v>7.5</x:v>
      </x:c>
      <x:c r="D52" s="1" t="s">
        <x:v>184</x:v>
      </x:c>
      <x:c r="E52" s="11" t="s">
        <x:v>185</x:v>
      </x:c>
      <x:c r="F52" s="11" t="s">
        <x:v>186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hidden="0" customHeight="1">
      <x:c r="A53" s="11" t="s">
        <x:v>188</x:v>
      </x:c>
      <x:c r="B53" s="11" t="s">
        <x:v>108</x:v>
      </x:c>
      <x:c r="C53" s="20" t="n">
        <x:v>0.055</x:v>
      </x:c>
      <x:c r="D53" s="1" t="s">
        <x:v>179</x:v>
      </x:c>
      <x:c r="E53" s="11" t="s">
        <x:v>189</x:v>
      </x:c>
      <x:c r="F53" s="1" t="s">
        <x:v>190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hidden="0" customHeight="1">
      <x:c r="A54" s="11" t="s">
        <x:v>191</x:v>
      </x:c>
      <x:c r="B54" s="1" t="s">
        <x:v>78</x:v>
      </x:c>
      <x:c r="C54" s="15" t="n">
        <x:v>1400</x:v>
      </x:c>
      <x:c r="D54" s="1" t="s">
        <x:v>104</x:v>
      </x:c>
      <x:c r="E54" s="11" t="s">
        <x:v>105</x:v>
      </x:c>
      <x:c r="F54" s="1" t="s">
        <x:v>192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1" t="s">
        <x:v>193</x:v>
      </x:c>
      <x:c r="B55" s="11" t="s">
        <x:v>108</x:v>
      </x:c>
      <x:c r="C55" s="20" t="n">
        <x:v>0</x:v>
      </x:c>
      <x:c r="D55" s="1" t="s">
        <x:v>104</x:v>
      </x:c>
      <x:c r="E55" s="11" t="s">
        <x:v>105</x:v>
      </x:c>
      <x:c r="F55" s="1" t="s">
        <x:v>194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hidden="0" customHeight="1">
      <x:c r="A56" s="1" t="s">
        <x:v>195</x:v>
      </x:c>
      <x:c r="B56" s="1" t="s">
        <x:v>78</x:v>
      </x:c>
      <x:c r="C56" s="15" t="n">
        <x:v>0</x:v>
      </x:c>
      <x:c r="D56" s="1" t="s">
        <x:v>196</x:v>
      </x:c>
      <x:c r="E56" s="11" t="s">
        <x:v>105</x:v>
      </x:c>
      <x:c r="F56" s="1" t="s">
        <x:v>197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hidden="0" customHeight="1">
      <x:c r="A57" s="10" t="s">
        <x:v>198</x:v>
      </x:c>
      <x:c r="B57" s="10"/>
      <x:c r="C57" s="10"/>
      <x:c r="D57" s="10"/>
      <x:c r="E57" s="10"/>
      <x:c r="F57" s="10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hidden="0" customHeight="1">
      <x:c r="A58" s="11" t="s">
        <x:v>199</x:v>
      </x:c>
      <x:c r="B58" s="11" t="s">
        <x:v>178</x:v>
      </x:c>
      <x:c r="C58" s="18" t="n">
        <x:v>20</x:v>
      </x:c>
      <x:c r="D58" s="1" t="s">
        <x:v>179</x:v>
      </x:c>
      <x:c r="E58" s="11" t="s">
        <x:v>200</x:v>
      </x:c>
      <x:c r="F58" s="1" t="s">
        <x:v>201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hidden="0" customHeight="1">
      <x:c r="A59" s="11" t="s">
        <x:v>202</x:v>
      </x:c>
      <x:c r="B59" s="11" t="s">
        <x:v>178</x:v>
      </x:c>
      <x:c r="C59" s="18" t="n">
        <x:v>0</x:v>
      </x:c>
      <x:c r="D59" s="1" t="s">
        <x:v>196</x:v>
      </x:c>
      <x:c r="E59" s="11" t="s">
        <x:v>200</x:v>
      </x:c>
      <x:c r="F59" s="1" t="s">
        <x:v>203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hidden="0" customHeight="1">
      <x:c r="A60" s="11" t="s">
        <x:v>204</x:v>
      </x:c>
      <x:c r="B60" s="11" t="s">
        <x:v>178</x:v>
      </x:c>
      <x:c r="C60" s="18" t="n">
        <x:v>25</x:v>
      </x:c>
      <x:c r="D60" s="1" t="s">
        <x:v>179</x:v>
      </x:c>
      <x:c r="E60" s="11" t="s">
        <x:v>205</x:v>
      </x:c>
      <x:c r="F60" s="1" t="s">
        <x:v>206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hidden="0" customHeight="1">
      <x:c r="A61" s="11" t="s">
        <x:v>207</x:v>
      </x:c>
      <x:c r="B61" s="11" t="s">
        <x:v>178</x:v>
      </x:c>
      <x:c r="C61" s="22" t="n">
        <x:v>0.00325</x:v>
      </x:c>
      <x:c r="D61" s="1" t="s">
        <x:v>179</x:v>
      </x:c>
      <x:c r="E61" s="11" t="s">
        <x:v>205</x:v>
      </x:c>
      <x:c r="F61" s="1" t="s">
        <x:v>208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hidden="0" customHeight="1">
      <x:c r="A62" s="11" t="s">
        <x:v>209</x:v>
      </x:c>
      <x:c r="B62" s="11" t="s">
        <x:v>178</x:v>
      </x:c>
      <x:c r="C62" s="18" t="n">
        <x:v>0</x:v>
      </x:c>
      <x:c r="D62" s="1" t="s">
        <x:v>196</x:v>
      </x:c>
      <x:c r="E62" s="11" t="s">
        <x:v>205</x:v>
      </x:c>
      <x:c r="F62" s="1" t="s">
        <x:v>210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hidden="0" customHeight="1">
      <x:c r="A63" s="1" t="s">
        <x:v>211</x:v>
      </x:c>
      <x:c r="B63" s="11" t="s">
        <x:v>108</x:v>
      </x:c>
      <x:c r="C63" s="20" t="n">
        <x:v>0.034</x:v>
      </x:c>
      <x:c r="D63" s="1" t="s">
        <x:v>212</x:v>
      </x:c>
      <x:c r="E63" s="11" t="s">
        <x:v>213</x:v>
      </x:c>
      <x:c r="F63" s="1" t="s">
        <x:v>214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hidden="0" customHeight="1">
      <x:c r="A64" s="11" t="s">
        <x:v>215</x:v>
      </x:c>
      <x:c r="B64" s="1" t="s">
        <x:v>78</x:v>
      </x:c>
      <x:c r="C64" s="15" t="n">
        <x:v>220000</x:v>
      </x:c>
      <x:c r="D64" s="1" t="s">
        <x:v>212</x:v>
      </x:c>
      <x:c r="E64" s="11" t="s">
        <x:v>213</x:v>
      </x:c>
      <x:c r="F64" s="1" t="s">
        <x:v>216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hidden="0" customHeight="1">
      <x:c r="A65" s="11" t="s">
        <x:v>217</x:v>
      </x:c>
      <x:c r="B65" s="1" t="s">
        <x:v>78</x:v>
      </x:c>
      <x:c r="C65" s="15" t="n">
        <x:v>110000</x:v>
      </x:c>
      <x:c r="D65" s="1" t="s">
        <x:v>212</x:v>
      </x:c>
      <x:c r="E65" s="11" t="s">
        <x:v>213</x:v>
      </x:c>
      <x:c r="F65" s="11" t="s">
        <x:v>218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hidden="0" customHeight="1">
      <x:c r="A66" s="1" t="s">
        <x:v>219</x:v>
      </x:c>
      <x:c r="B66" s="1" t="s">
        <x:v>78</x:v>
      </x:c>
      <x:c r="C66" s="15" t="n">
        <x:v>100</x:v>
      </x:c>
      <x:c r="D66" s="1" t="s">
        <x:v>104</x:v>
      </x:c>
      <x:c r="E66" s="11" t="s">
        <x:v>105</x:v>
      </x:c>
      <x:c r="F66" s="1" t="s">
        <x:v>220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hidden="0" customHeight="1">
      <x:c r="A67" s="1" t="s">
        <x:v>221</x:v>
      </x:c>
      <x:c r="B67" s="1" t="s">
        <x:v>78</x:v>
      </x:c>
      <x:c r="C67" s="15" t="n">
        <x:v>0</x:v>
      </x:c>
      <x:c r="D67" s="1" t="s">
        <x:v>104</x:v>
      </x:c>
      <x:c r="E67" s="11" t="s">
        <x:v>105</x:v>
      </x:c>
      <x:c r="F67" s="1" t="s">
        <x:v>222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hidden="0" customHeight="1">
      <x:c r="A68" s="1" t="s">
        <x:v>223</x:v>
      </x:c>
      <x:c r="B68" s="1" t="s">
        <x:v>78</x:v>
      </x:c>
      <x:c r="C68" s="15" t="n">
        <x:v>0</x:v>
      </x:c>
      <x:c r="D68" s="1" t="s">
        <x:v>104</x:v>
      </x:c>
      <x:c r="E68" s="11" t="s">
        <x:v>105</x:v>
      </x:c>
      <x:c r="F68" s="1" t="s">
        <x:v>224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hidden="0" customHeight="1">
      <x:c r="A69" s="1" t="s">
        <x:v>225</x:v>
      </x:c>
      <x:c r="B69" s="1" t="s">
        <x:v>78</x:v>
      </x:c>
      <x:c r="C69" s="15" t="n">
        <x:v>200000</x:v>
      </x:c>
      <x:c r="D69" s="1" t="s">
        <x:v>104</x:v>
      </x:c>
      <x:c r="E69" s="11" t="s">
        <x:v>105</x:v>
      </x:c>
      <x:c r="F69" s="1" t="s">
        <x:v>226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hidden="0" customHeight="1">
      <x:c r="A70" s="1" t="s">
        <x:v>227</x:v>
      </x:c>
      <x:c r="B70" s="11" t="s">
        <x:v>108</x:v>
      </x:c>
      <x:c r="C70" s="20" t="n">
        <x:v>0.1</x:v>
      </x:c>
      <x:c r="D70" s="1" t="s">
        <x:v>228</x:v>
      </x:c>
      <x:c r="E70" s="11" t="s">
        <x:v>229</x:v>
      </x:c>
      <x:c r="F70" s="1" t="s">
        <x:v>230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hidden="0" customHeight="1">
      <x:c r="A71" s="1" t="s">
        <x:v>231</x:v>
      </x:c>
      <x:c r="B71" s="11" t="s">
        <x:v>108</x:v>
      </x:c>
      <x:c r="C71" s="20" t="n">
        <x:v>0.1</x:v>
      </x:c>
      <x:c r="D71" s="1" t="s">
        <x:v>232</x:v>
      </x:c>
      <x:c r="E71" s="11" t="s">
        <x:v>233</x:v>
      </x:c>
      <x:c r="F71" s="11" t="s">
        <x:v>234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hidden="0" customHeight="1">
      <x:c r="A73" s="23" t="s">
        <x:v>235</x:v>
      </x:c>
      <x:c r="B73" s="23"/>
      <x:c r="C73" s="23"/>
      <x:c r="D73" s="23"/>
      <x:c r="E73" s="23"/>
      <x:c r="F73" s="23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hidden="0" customHeight="1">
      <x:c r="A74" s="1" t="s">
        <x:v>236</x:v>
      </x:c>
      <x:c r="B74" s="1" t="s">
        <x:v>97</x:v>
      </x:c>
      <x:c r="C74" s="47" t="n">
        <x:v>2</x:v>
      </x:c>
      <x:c r="D74" s="1" t="s">
        <x:v>237</x:v>
      </x:c>
      <x:c r="E74" s="11" t="s">
        <x:v>80</x:v>
      </x:c>
      <x:c r="F74" s="25" t="s">
        <x:v>238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hidden="0" customHeight="1">
      <x:c r="A75" s="11" t="s">
        <x:v>239</x:v>
      </x:c>
      <x:c r="B75" s="11" t="s">
        <x:v>240</x:v>
      </x:c>
      <x:c r="C75" s="47" t="n">
        <x:v>0</x:v>
      </x:c>
      <x:c r="D75" s="1" t="s">
        <x:v>241</x:v>
      </x:c>
      <x:c r="E75" s="11" t="s">
        <x:v>200</x:v>
      </x:c>
      <x:c r="F75" s="26" t="s">
        <x:v>242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hidden="0" customHeight="1">
      <x:c r="A76" s="1" t="s">
        <x:v>243</x:v>
      </x:c>
      <x:c r="B76" s="11" t="s">
        <x:v>108</x:v>
      </x:c>
      <x:c r="C76" s="49" t="n">
        <x:v>0.05</x:v>
      </x:c>
      <x:c r="D76" s="1" t="s">
        <x:v>104</x:v>
      </x:c>
      <x:c r="E76" s="11" t="s">
        <x:v>105</x:v>
      </x:c>
      <x:c r="F76" s="26" t="s">
        <x:v>244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hidden="0" customHeight="1">
      <x:c r="A77" s="1" t="s">
        <x:v>245</x:v>
      </x:c>
      <x:c r="B77" s="1" t="s">
        <x:v>246</x:v>
      </x:c>
      <x:c r="C77" s="47" t="n">
        <x:v>8</x:v>
      </x:c>
      <x:c r="D77" s="1" t="s">
        <x:v>104</x:v>
      </x:c>
      <x:c r="E77" s="11" t="s">
        <x:v>105</x:v>
      </x:c>
      <x:c r="F77" s="26" t="s">
        <x:v>247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hidden="0" customHeight="1">
      <x:c r="A78" s="1" t="s">
        <x:v>248</x:v>
      </x:c>
      <x:c r="B78" s="11" t="s">
        <x:v>249</x:v>
      </x:c>
      <x:c r="C78" s="47" t="n">
        <x:v>2</x:v>
      </x:c>
      <x:c r="D78" s="1" t="s">
        <x:v>104</x:v>
      </x:c>
      <x:c r="E78" s="11" t="s">
        <x:v>105</x:v>
      </x:c>
      <x:c r="F78" s="26" t="s">
        <x:v>250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hidden="0" customHeight="1">
      <x:c r="A79" s="11" t="s">
        <x:v>251</x:v>
      </x:c>
      <x:c r="B79" s="11" t="s">
        <x:v>252</x:v>
      </x:c>
      <x:c r="C79" s="47" t="n">
        <x:v>1024</x:v>
      </x:c>
      <x:c r="D79" s="1" t="s">
        <x:v>179</x:v>
      </x:c>
      <x:c r="E79" s="11" t="s">
        <x:v>200</x:v>
      </x:c>
      <x:c r="F79" s="25" t="s">
        <x:v>253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hidden="0" customHeight="1">
      <x:c r="A80" s="11" t="s">
        <x:v>254</x:v>
      </x:c>
      <x:c r="B80" s="1" t="s">
        <x:v>246</x:v>
      </x:c>
      <x:c r="C80" s="47" t="n">
        <x:v>10000000</x:v>
      </x:c>
      <x:c r="D80" s="1" t="s">
        <x:v>179</x:v>
      </x:c>
      <x:c r="E80" s="11" t="s">
        <x:v>200</x:v>
      </x:c>
      <x:c r="F80" s="26" t="s">
        <x:v>255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hidden="0" customHeight="1">
      <x:c r="A81" s="11" t="s">
        <x:v>256</x:v>
      </x:c>
      <x:c r="B81" s="11" t="s">
        <x:v>257</x:v>
      </x:c>
      <x:c r="C81" s="50" t="n">
        <x:v>0.35</x:v>
      </x:c>
      <x:c r="D81" s="1" t="s">
        <x:v>179</x:v>
      </x:c>
      <x:c r="E81" s="11" t="s">
        <x:v>200</x:v>
      </x:c>
      <x:c r="F81" s="26" t="s">
        <x:v>258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hidden="0" customHeight="1">
      <x:c r="A82" s="11" t="s">
        <x:v>259</x:v>
      </x:c>
      <x:c r="B82" s="11" t="s">
        <x:v>260</x:v>
      </x:c>
      <x:c r="C82" s="50" t="n">
        <x:v>3.2</x:v>
      </x:c>
      <x:c r="D82" s="1" t="s">
        <x:v>179</x:v>
      </x:c>
      <x:c r="E82" s="11" t="s">
        <x:v>200</x:v>
      </x:c>
      <x:c r="F82" s="26" t="s">
        <x:v>258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hidden="0" customHeight="1">
      <x:c r="A83" s="11" t="s">
        <x:v>261</x:v>
      </x:c>
      <x:c r="B83" s="11" t="s">
        <x:v>252</x:v>
      </x:c>
      <x:c r="C83" s="47" t="n">
        <x:v>100</x:v>
      </x:c>
      <x:c r="D83" s="1" t="s">
        <x:v>179</x:v>
      </x:c>
      <x:c r="E83" s="11" t="s">
        <x:v>200</x:v>
      </x:c>
      <x:c r="F83" s="26" t="s">
        <x:v>262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11" t="s">
        <x:v>263</x:v>
      </x:c>
      <x:c r="B84" s="1" t="s">
        <x:v>246</x:v>
      </x:c>
      <x:c r="C84" s="47" t="n">
        <x:v>1000000</x:v>
      </x:c>
      <x:c r="D84" s="1" t="s">
        <x:v>179</x:v>
      </x:c>
      <x:c r="E84" s="11" t="s">
        <x:v>200</x:v>
      </x:c>
      <x:c r="F84" s="26" t="s">
        <x:v>262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hidden="0" customHeight="1">
      <x:c r="A85" s="11" t="s">
        <x:v>264</x:v>
      </x:c>
      <x:c r="B85" s="1" t="s">
        <x:v>103</x:v>
      </x:c>
      <x:c r="C85" s="47" t="n">
        <x:v>50000</x:v>
      </x:c>
      <x:c r="D85" s="1" t="s">
        <x:v>179</x:v>
      </x:c>
      <x:c r="E85" s="11" t="s">
        <x:v>205</x:v>
      </x:c>
      <x:c r="F85" s="26" t="s">
        <x:v>265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hidden="0" customHeight="1">
      <x:c r="A86" s="11" t="s">
        <x:v>266</x:v>
      </x:c>
      <x:c r="B86" s="11" t="s">
        <x:v>252</x:v>
      </x:c>
      <x:c r="C86" s="52" t="n">
        <x:v>0.5</x:v>
      </x:c>
      <x:c r="D86" s="1" t="s">
        <x:v>179</x:v>
      </x:c>
      <x:c r="E86" s="11" t="s">
        <x:v>205</x:v>
      </x:c>
      <x:c r="F86" s="25" t="s">
        <x:v>267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hidden="0" customHeight="1">
      <x:c r="A87" s="11" t="s">
        <x:v>268</x:v>
      </x:c>
      <x:c r="B87" s="11" t="s">
        <x:v>252</x:v>
      </x:c>
      <x:c r="C87" s="47" t="n">
        <x:v>5</x:v>
      </x:c>
      <x:c r="D87" s="1" t="s">
        <x:v>179</x:v>
      </x:c>
      <x:c r="E87" s="11" t="s">
        <x:v>205</x:v>
      </x:c>
      <x:c r="F87" s="26" t="s">
        <x:v>269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hidden="0" customHeight="1">
      <x:c r="A88" s="11" t="s">
        <x:v>270</x:v>
      </x:c>
      <x:c r="B88" s="11" t="s">
        <x:v>252</x:v>
      </x:c>
      <x:c r="C88" s="47" t="n">
        <x:v>1</x:v>
      </x:c>
      <x:c r="D88" s="1" t="s">
        <x:v>179</x:v>
      </x:c>
      <x:c r="E88" s="11" t="s">
        <x:v>205</x:v>
      </x:c>
      <x:c r="F88" s="25" t="s">
        <x:v>271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hidden="0" customHeight="1">
      <x:c r="A89" s="11" t="s">
        <x:v>272</x:v>
      </x:c>
      <x:c r="B89" s="1" t="s">
        <x:v>103</x:v>
      </x:c>
      <x:c r="C89" s="47" t="n">
        <x:v>100000</x:v>
      </x:c>
      <x:c r="D89" s="1" t="s">
        <x:v>179</x:v>
      </x:c>
      <x:c r="E89" s="11" t="s">
        <x:v>205</x:v>
      </x:c>
      <x:c r="F89" s="26" t="s">
        <x:v>273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hidden="0" customHeight="1">
      <x:c r="A90" s="11" t="s">
        <x:v>274</x:v>
      </x:c>
      <x:c r="B90" s="11" t="s">
        <x:v>252</x:v>
      </x:c>
      <x:c r="C90" s="47" t="n">
        <x:v>8</x:v>
      </x:c>
      <x:c r="D90" s="1" t="s">
        <x:v>179</x:v>
      </x:c>
      <x:c r="E90" s="11" t="s">
        <x:v>205</x:v>
      </x:c>
      <x:c r="F90" s="25" t="s">
        <x:v>275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11" t="s">
        <x:v>276</x:v>
      </x:c>
      <x:c r="B91" s="11" t="s">
        <x:v>252</x:v>
      </x:c>
      <x:c r="C91" s="47" t="n">
        <x:v>250</x:v>
      </x:c>
      <x:c r="D91" s="1" t="s">
        <x:v>179</x:v>
      </x:c>
      <x:c r="E91" s="11" t="s">
        <x:v>205</x:v>
      </x:c>
      <x:c r="F91" s="26" t="s">
        <x:v>269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hidden="0" customHeight="1">
      <x:c r="A92" s="11" t="s">
        <x:v>277</x:v>
      </x:c>
      <x:c r="B92" s="11" t="s">
        <x:v>252</x:v>
      </x:c>
      <x:c r="C92" s="47" t="n">
        <x:v>100</x:v>
      </x:c>
      <x:c r="D92" s="1" t="s">
        <x:v>179</x:v>
      </x:c>
      <x:c r="E92" s="11" t="s">
        <x:v>205</x:v>
      </x:c>
      <x:c r="F92" s="25" t="s">
        <x:v>271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hidden="0" customHeight="1">
      <x:c r="A93" s="1" t="s">
        <x:v>278</x:v>
      </x:c>
      <x:c r="B93" s="11" t="s">
        <x:v>249</x:v>
      </x:c>
      <x:c r="C93" s="50" t="n">
        <x:v>0.1</x:v>
      </x:c>
      <x:c r="D93" s="1" t="s">
        <x:v>104</x:v>
      </x:c>
      <x:c r="E93" s="11" t="s">
        <x:v>105</x:v>
      </x:c>
      <x:c r="F93" s="26" t="s">
        <x:v>279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hidden="0" customHeight="1">
      <x:c r="A94" s="1" t="s">
        <x:v>280</x:v>
      </x:c>
      <x:c r="B94" s="11" t="s">
        <x:v>252</x:v>
      </x:c>
      <x:c r="C94" s="50" t="n">
        <x:v>0.01</x:v>
      </x:c>
      <x:c r="D94" s="1" t="s">
        <x:v>104</x:v>
      </x:c>
      <x:c r="E94" s="11" t="s">
        <x:v>105</x:v>
      </x:c>
      <x:c r="F94" s="25" t="s">
        <x:v>281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hidden="0" customHeight="1">
      <x:c r="A95" s="1" t="s">
        <x:v>282</x:v>
      </x:c>
      <x:c r="B95" s="11" t="s">
        <x:v>252</x:v>
      </x:c>
      <x:c r="C95" s="50" t="n">
        <x:v>0.001</x:v>
      </x:c>
      <x:c r="D95" s="1" t="s">
        <x:v>104</x:v>
      </x:c>
      <x:c r="E95" s="11" t="s">
        <x:v>105</x:v>
      </x:c>
      <x:c r="F95" s="26" t="s">
        <x:v>283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4" hidden="0">
      <x:c r="A96" s="28" t="s">
        <x:v>284</x:v>
      </x:c>
      <x:c r="B96" s="28" t="s">
        <x:v>257</x:v>
      </x:c>
      <x:c r="C96" s="51" t="n">
        <x:v>0.125</x:v>
      </x:c>
      <x:c r="D96" t="s">
        <x:v>179</x:v>
      </x:c>
      <x:c r="E96" s="28" t="s">
        <x:v>205</x:v>
      </x:c>
      <x:c r="F96" s="30" t="s">
        <x:v>285</x:v>
      </x:c>
    </x:row>
    <x:row r="97" ht="14" hidden="0">
      <x:c r="A97" s="28" t="s">
        <x:v>286</x:v>
      </x:c>
      <x:c r="B97" s="28" t="s">
        <x:v>257</x:v>
      </x:c>
      <x:c r="C97" s="51" t="n">
        <x:v>0.09</x:v>
      </x:c>
      <x:c r="D97" t="s">
        <x:v>179</x:v>
      </x:c>
      <x:c r="E97" s="28" t="s">
        <x:v>205</x:v>
      </x:c>
      <x:c r="F97" s="30" t="s">
        <x:v>287</x:v>
      </x:c>
    </x:row>
    <x:row r="98" ht="14" hidden="0">
      <x:c r="A98" s="28" t="s">
        <x:v>288</x:v>
      </x:c>
      <x:c r="B98" s="28" t="s">
        <x:v>257</x:v>
      </x:c>
      <x:c r="C98" s="51" t="n">
        <x:v>0.0213</x:v>
      </x:c>
      <x:c r="D98" t="s">
        <x:v>179</x:v>
      </x:c>
      <x:c r="E98" s="28" t="s">
        <x:v>205</x:v>
      </x:c>
      <x:c r="F98" s="30" t="s">
        <x:v>289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10.54296875" defaultRowHeight="14"/>
  <x:cols>
    <x:col min="1" max="1" width="39.779998779296875" hidden="0" customWidth="1"/>
    <x:col min="2" max="2" width="9.739999771118164" hidden="0" customWidth="1"/>
    <x:col min="3" max="26" width="14.510000228881836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31" t="s">
        <x:v>290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5" t="s">
        <x:v>2</x:v>
      </x:c>
      <x:c r="B4" s="5" t="s">
        <x:v>58</x:v>
      </x:c>
      <x:c r="C4" s="6" t="s">
        <x:v>26</x:v>
      </x:c>
      <x:c r="D4" s="6" t="s">
        <x:v>28</x:v>
      </x:c>
      <x:c r="E4" s="6" t="s">
        <x:v>30</x:v>
      </x:c>
      <x:c r="F4" s="6" t="s">
        <x:v>32</x:v>
      </x:c>
      <x:c r="G4" s="6" t="s">
        <x:v>34</x:v>
      </x:c>
      <x:c r="H4" s="6" t="s">
        <x:v>3</x:v>
      </x:c>
      <x:c r="I4" s="6" t="s">
        <x:v>37</x:v>
      </x:c>
      <x:c r="J4" s="6" t="s">
        <x:v>39</x:v>
      </x:c>
      <x:c r="K4" s="6" t="s">
        <x:v>41</x:v>
      </x:c>
      <x:c r="L4" s="6" t="s">
        <x:v>43</x:v>
      </x:c>
      <x:c r="M4" s="6" t="s">
        <x:v>44</x:v>
      </x:c>
      <x:c r="N4" s="6" t="s">
        <x:v>4</x:v>
      </x:c>
      <x:c r="O4" s="6" t="s">
        <x:v>45</x:v>
      </x:c>
      <x:c r="P4" s="6" t="s">
        <x:v>46</x:v>
      </x:c>
      <x:c r="Q4" s="6" t="s">
        <x:v>47</x:v>
      </x:c>
      <x:c r="R4" s="6" t="s">
        <x:v>48</x:v>
      </x:c>
      <x:c r="S4" s="6" t="s">
        <x:v>49</x:v>
      </x:c>
      <x:c r="T4" s="6" t="s">
        <x:v>50</x:v>
      </x:c>
      <x:c r="U4" s="6" t="s">
        <x:v>51</x:v>
      </x:c>
      <x:c r="V4" s="6" t="s">
        <x:v>52</x:v>
      </x:c>
      <x:c r="W4" s="6" t="s">
        <x:v>53</x:v>
      </x:c>
      <x:c r="X4" s="6" t="s">
        <x:v>54</x:v>
      </x:c>
      <x:c r="Y4" s="6" t="s">
        <x:v>55</x:v>
      </x:c>
      <x:c r="Z4" s="6" t="s">
        <x:v>5</x:v>
      </x:c>
    </x:row>
    <x:row r="5" ht="16.5" hidden="0" customHeight="1">
      <x:c r="A5" s="5" t="s">
        <x:v>291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6.5" hidden="0" customHeight="1">
      <x:c r="A6" s="1" t="s">
        <x:v>292</x:v>
      </x:c>
      <x:c r="B6" s="1" t="s">
        <x:v>103</x:v>
      </x:c>
      <x:c r="C6" s="7" t="n">
        <x:f aca="0">Assumptions!$C$15</x:f>
        <x:v>25</x:v>
      </x:c>
      <x:c r="D6" s="7" t="n">
        <x:f aca="0">0</x:f>
        <x:v>0</x:v>
      </x:c>
      <x:c r="E6" s="7" t="n">
        <x:f aca="0">0</x:f>
        <x:v>0</x:v>
      </x:c>
      <x:c r="F6" s="7" t="n">
        <x:f aca="0">0</x:f>
        <x:v>0</x:v>
      </x:c>
      <x:c r="G6" s="7" t="n">
        <x:f aca="0">0</x:f>
        <x:v>0</x:v>
      </x:c>
      <x:c r="H6" s="7" t="n">
        <x:f aca="0">0</x:f>
        <x:v>0</x:v>
      </x:c>
      <x:c r="I6" s="7" t="n">
        <x:f aca="0">0</x:f>
        <x:v>0</x:v>
      </x:c>
      <x:c r="J6" s="7" t="n">
        <x:f aca="0">0</x:f>
        <x:v>0</x:v>
      </x:c>
      <x:c r="K6" s="7" t="n">
        <x:f aca="0">0</x:f>
        <x:v>0</x:v>
      </x:c>
      <x:c r="L6" s="7" t="n">
        <x:f aca="0">0</x:f>
        <x:v>0</x:v>
      </x:c>
      <x:c r="M6" s="7" t="n">
        <x:f aca="0">0</x:f>
        <x:v>0</x:v>
      </x:c>
      <x:c r="N6" s="7" t="n">
        <x:f aca="0">0</x:f>
        <x:v>0</x:v>
      </x:c>
      <x:c r="O6" s="7" t="n">
        <x:f aca="0">0</x:f>
        <x:v>0</x:v>
      </x:c>
      <x:c r="P6" s="7" t="n">
        <x:f aca="0">0</x:f>
        <x:v>0</x:v>
      </x:c>
      <x:c r="Q6" s="7" t="n">
        <x:f aca="0">0</x:f>
        <x:v>0</x:v>
      </x:c>
      <x:c r="R6" s="7" t="n">
        <x:f aca="0">0</x:f>
        <x:v>0</x:v>
      </x:c>
      <x:c r="S6" s="7" t="n">
        <x:f aca="0">0</x:f>
        <x:v>0</x:v>
      </x:c>
      <x:c r="T6" s="7" t="n">
        <x:f aca="0">0</x:f>
        <x:v>0</x:v>
      </x:c>
      <x:c r="U6" s="7" t="n">
        <x:f aca="0">0</x:f>
        <x:v>0</x:v>
      </x:c>
      <x:c r="V6" s="7" t="n">
        <x:f aca="0">0</x:f>
        <x:v>0</x:v>
      </x:c>
      <x:c r="W6" s="7" t="n">
        <x:f aca="0">0</x:f>
        <x:v>0</x:v>
      </x:c>
      <x:c r="X6" s="7" t="n">
        <x:f aca="0">0</x:f>
        <x:v>0</x:v>
      </x:c>
      <x:c r="Y6" s="7" t="n">
        <x:f aca="0">0</x:f>
        <x:v>0</x:v>
      </x:c>
      <x:c r="Z6" s="7" t="n">
        <x:f aca="0">0</x:f>
        <x:v>0</x:v>
      </x:c>
    </x:row>
    <x:row r="7" ht="16.5" hidden="0" customHeight="1">
      <x:c r="A7" s="1" t="s">
        <x:v>293</x:v>
      </x:c>
      <x:c r="B7" s="1" t="s">
        <x:v>103</x:v>
      </x:c>
      <x:c r="C7" s="7" t="n">
        <x:f aca="0">C6*Assumptions!$C$16</x:f>
        <x:v>15</x:v>
      </x:c>
      <x:c r="D7" s="7" t="n">
        <x:f aca="0">D6*Assumptions!$C$16</x:f>
        <x:v>0</x:v>
      </x:c>
      <x:c r="E7" s="7" t="n">
        <x:f aca="0">E6*Assumptions!$C$16</x:f>
        <x:v>0</x:v>
      </x:c>
      <x:c r="F7" s="7" t="n">
        <x:f aca="0">F6*Assumptions!$C$16</x:f>
        <x:v>0</x:v>
      </x:c>
      <x:c r="G7" s="7" t="n">
        <x:f aca="0">G6*Assumptions!$C$16</x:f>
        <x:v>0</x:v>
      </x:c>
      <x:c r="H7" s="7" t="n">
        <x:f aca="0">H6*Assumptions!$C$16</x:f>
        <x:v>0</x:v>
      </x:c>
      <x:c r="I7" s="7" t="n">
        <x:f aca="0">I6*Assumptions!$C$16</x:f>
        <x:v>0</x:v>
      </x:c>
      <x:c r="J7" s="7" t="n">
        <x:f aca="0">J6*Assumptions!$C$16</x:f>
        <x:v>0</x:v>
      </x:c>
      <x:c r="K7" s="7" t="n">
        <x:f aca="0">K6*Assumptions!$C$16</x:f>
        <x:v>0</x:v>
      </x:c>
      <x:c r="L7" s="7" t="n">
        <x:f aca="0">L6*Assumptions!$C$16</x:f>
        <x:v>0</x:v>
      </x:c>
      <x:c r="M7" s="7" t="n">
        <x:f aca="0">M6*Assumptions!$C$16</x:f>
        <x:v>0</x:v>
      </x:c>
      <x:c r="N7" s="7" t="n">
        <x:f aca="0">N6*Assumptions!$C$16</x:f>
        <x:v>0</x:v>
      </x:c>
      <x:c r="O7" s="7" t="n">
        <x:f aca="0">O6*Assumptions!$C$16</x:f>
        <x:v>0</x:v>
      </x:c>
      <x:c r="P7" s="7" t="n">
        <x:f aca="0">P6*Assumptions!$C$16</x:f>
        <x:v>0</x:v>
      </x:c>
      <x:c r="Q7" s="7" t="n">
        <x:f aca="0">Q6*Assumptions!$C$16</x:f>
        <x:v>0</x:v>
      </x:c>
      <x:c r="R7" s="7" t="n">
        <x:f aca="0">R6*Assumptions!$C$16</x:f>
        <x:v>0</x:v>
      </x:c>
      <x:c r="S7" s="7" t="n">
        <x:f aca="0">S6*Assumptions!$C$16</x:f>
        <x:v>0</x:v>
      </x:c>
      <x:c r="T7" s="7" t="n">
        <x:f aca="0">T6*Assumptions!$C$16</x:f>
        <x:v>0</x:v>
      </x:c>
      <x:c r="U7" s="7" t="n">
        <x:f aca="0">U6*Assumptions!$C$16</x:f>
        <x:v>0</x:v>
      </x:c>
      <x:c r="V7" s="7" t="n">
        <x:f aca="0">V6*Assumptions!$C$16</x:f>
        <x:v>0</x:v>
      </x:c>
      <x:c r="W7" s="7" t="n">
        <x:f aca="0">W6*Assumptions!$C$16</x:f>
        <x:v>0</x:v>
      </x:c>
      <x:c r="X7" s="7" t="n">
        <x:f aca="0">X6*Assumptions!$C$16</x:f>
        <x:v>0</x:v>
      </x:c>
      <x:c r="Y7" s="7" t="n">
        <x:f aca="0">Y6*Assumptions!$C$16</x:f>
        <x:v>0</x:v>
      </x:c>
      <x:c r="Z7" s="7" t="n">
        <x:f aca="0">Z6*Assumptions!$C$16</x:f>
        <x:v>0</x:v>
      </x:c>
    </x:row>
    <x:row r="8" ht="16.5" hidden="0" customHeight="1">
      <x:c r="A8" s="1" t="s">
        <x:v>294</x:v>
      </x:c>
      <x:c r="B8" s="1" t="s">
        <x:v>103</x:v>
      </x:c>
      <x:c r="C8" s="7" t="n">
        <x:f aca="0">C7*Assumptions!$C$17</x:f>
        <x:v>10.5</x:v>
      </x:c>
      <x:c r="D8" s="7" t="n">
        <x:f aca="0">D7*Assumptions!$C$17</x:f>
        <x:v>0</x:v>
      </x:c>
      <x:c r="E8" s="7" t="n">
        <x:f aca="0">E7*Assumptions!$C$17</x:f>
        <x:v>0</x:v>
      </x:c>
      <x:c r="F8" s="7" t="n">
        <x:f aca="0">F7*Assumptions!$C$17</x:f>
        <x:v>0</x:v>
      </x:c>
      <x:c r="G8" s="7" t="n">
        <x:f aca="0">G7*Assumptions!$C$17</x:f>
        <x:v>0</x:v>
      </x:c>
      <x:c r="H8" s="7" t="n">
        <x:f aca="0">H7*Assumptions!$C$17</x:f>
        <x:v>0</x:v>
      </x:c>
      <x:c r="I8" s="7" t="n">
        <x:f aca="0">I7*Assumptions!$C$17</x:f>
        <x:v>0</x:v>
      </x:c>
      <x:c r="J8" s="7" t="n">
        <x:f aca="0">J7*Assumptions!$C$17</x:f>
        <x:v>0</x:v>
      </x:c>
      <x:c r="K8" s="7" t="n">
        <x:f aca="0">K7*Assumptions!$C$17</x:f>
        <x:v>0</x:v>
      </x:c>
      <x:c r="L8" s="7" t="n">
        <x:f aca="0">L7*Assumptions!$C$17</x:f>
        <x:v>0</x:v>
      </x:c>
      <x:c r="M8" s="7" t="n">
        <x:f aca="0">M7*Assumptions!$C$17</x:f>
        <x:v>0</x:v>
      </x:c>
      <x:c r="N8" s="7" t="n">
        <x:f aca="0">N7*Assumptions!$C$17</x:f>
        <x:v>0</x:v>
      </x:c>
      <x:c r="O8" s="7" t="n">
        <x:f aca="0">O7*Assumptions!$C$17</x:f>
        <x:v>0</x:v>
      </x:c>
      <x:c r="P8" s="7" t="n">
        <x:f aca="0">P7*Assumptions!$C$17</x:f>
        <x:v>0</x:v>
      </x:c>
      <x:c r="Q8" s="7" t="n">
        <x:f aca="0">Q7*Assumptions!$C$17</x:f>
        <x:v>0</x:v>
      </x:c>
      <x:c r="R8" s="7" t="n">
        <x:f aca="0">R7*Assumptions!$C$17</x:f>
        <x:v>0</x:v>
      </x:c>
      <x:c r="S8" s="7" t="n">
        <x:f aca="0">S7*Assumptions!$C$17</x:f>
        <x:v>0</x:v>
      </x:c>
      <x:c r="T8" s="7" t="n">
        <x:f aca="0">T7*Assumptions!$C$17</x:f>
        <x:v>0</x:v>
      </x:c>
      <x:c r="U8" s="7" t="n">
        <x:f aca="0">U7*Assumptions!$C$17</x:f>
        <x:v>0</x:v>
      </x:c>
      <x:c r="V8" s="7" t="n">
        <x:f aca="0">V7*Assumptions!$C$17</x:f>
        <x:v>0</x:v>
      </x:c>
      <x:c r="W8" s="7" t="n">
        <x:f aca="0">W7*Assumptions!$C$17</x:f>
        <x:v>0</x:v>
      </x:c>
      <x:c r="X8" s="7" t="n">
        <x:f aca="0">X7*Assumptions!$C$17</x:f>
        <x:v>0</x:v>
      </x:c>
      <x:c r="Y8" s="7" t="n">
        <x:f aca="0">Y7*Assumptions!$C$17</x:f>
        <x:v>0</x:v>
      </x:c>
      <x:c r="Z8" s="7" t="n">
        <x:f aca="0">Z7*Assumptions!$C$17</x:f>
        <x:v>0</x:v>
      </x:c>
    </x:row>
    <x:row r="9" ht="16.5" hidden="0" customHeight="1">
      <x:c r="A9" s="1" t="s">
        <x:v>295</x:v>
      </x:c>
      <x:c r="B9" s="1" t="s">
        <x:v>103</x:v>
      </x:c>
      <x:c r="C9" s="7" t="n">
        <x:f aca="0">Assumptions!$C$18*(1+Assumptions!$C$19)^0*Assumptions!$G$6</x:f>
        <x:v>20</x:v>
      </x:c>
      <x:c r="D9" s="7" t="n">
        <x:f aca="0">Assumptions!$C$18*(1+Assumptions!$C$19)^1*Assumptions!$H$6</x:f>
        <x:v>21</x:v>
      </x:c>
      <x:c r="E9" s="7" t="n">
        <x:f aca="0">Assumptions!$C$18*(1+Assumptions!$C$19)^2*Assumptions!$I$6</x:f>
        <x:v>22.05</x:v>
      </x:c>
      <x:c r="F9" s="7" t="n">
        <x:f aca="0">Assumptions!$C$18*(1+Assumptions!$C$19)^3*Assumptions!$J$6</x:f>
        <x:v>23.152500000000003</x:v>
      </x:c>
      <x:c r="G9" s="7" t="n">
        <x:f aca="0">Assumptions!$C$18*(1+Assumptions!$C$19)^4*Assumptions!$K$6</x:f>
        <x:v>24.310125000000006</x:v>
      </x:c>
      <x:c r="H9" s="7" t="n">
        <x:f aca="0">Assumptions!$C$18*(1+Assumptions!$C$19)^5*Assumptions!$L$6</x:f>
        <x:v>25.525631250000007</x:v>
      </x:c>
      <x:c r="I9" s="7" t="n">
        <x:f aca="0">Assumptions!$C$18*(1+Assumptions!$C$19)^6*Assumptions!$M$6</x:f>
        <x:v>26.801912812500007</x:v>
      </x:c>
      <x:c r="J9" s="7" t="n">
        <x:f aca="0">Assumptions!$C$18*(1+Assumptions!$C$19)^7*Assumptions!$N$6</x:f>
        <x:v>28.14200845312501</x:v>
      </x:c>
      <x:c r="K9" s="7" t="n">
        <x:f aca="0">Assumptions!$C$18*(1+Assumptions!$C$19)^8*Assumptions!$O$6</x:f>
        <x:v>29.54910887578126</x:v>
      </x:c>
      <x:c r="L9" s="7" t="n">
        <x:f aca="0">Assumptions!$C$18*(1+Assumptions!$C$19)^9*Assumptions!$P$6</x:f>
        <x:v>31.026564319570326</x:v>
      </x:c>
      <x:c r="M9" s="7" t="n">
        <x:f aca="0">Assumptions!$C$18*(1+Assumptions!$C$19)^10*Assumptions!$Q$6</x:f>
        <x:v>32.57789253554884</x:v>
      </x:c>
      <x:c r="N9" s="7" t="n">
        <x:f aca="0">Assumptions!$C$18*(1+Assumptions!$C$19)^11*Assumptions!$R$6</x:f>
        <x:v>34.206787162326286</x:v>
      </x:c>
      <x:c r="O9" s="7" t="n">
        <x:f aca="0">Assumptions!$C$18*(1+Assumptions!$C$19)^12*Assumptions!$G$6</x:f>
        <x:v>35.9171265204426</x:v>
      </x:c>
      <x:c r="P9" s="7" t="n">
        <x:f aca="0">Assumptions!$C$18*(1+Assumptions!$C$19)^13*Assumptions!$H$6</x:f>
        <x:v>37.71298284646473</x:v>
      </x:c>
      <x:c r="Q9" s="7" t="n">
        <x:f aca="0">Assumptions!$C$18*(1+Assumptions!$C$19)^14*Assumptions!$I$6</x:f>
        <x:v>39.59863198878797</x:v>
      </x:c>
      <x:c r="R9" s="7" t="n">
        <x:f aca="0">Assumptions!$C$18*(1+Assumptions!$C$19)^15*Assumptions!$J$6</x:f>
        <x:v>41.578563588227375</x:v>
      </x:c>
      <x:c r="S9" s="7" t="n">
        <x:f aca="0">Assumptions!$C$18*(1+Assumptions!$C$19)^16*Assumptions!$K$6</x:f>
        <x:v>43.65749176763874</x:v>
      </x:c>
      <x:c r="T9" s="7" t="n">
        <x:f aca="0">Assumptions!$C$18*(1+Assumptions!$C$19)^17*Assumptions!$L$6</x:f>
        <x:v>45.84036635602068</x:v>
      </x:c>
      <x:c r="U9" s="7" t="n">
        <x:f aca="0">Assumptions!$C$18*(1+Assumptions!$C$19)^18*Assumptions!$M$6</x:f>
        <x:v>48.13238467382171</x:v>
      </x:c>
      <x:c r="V9" s="7" t="n">
        <x:f aca="0">Assumptions!$C$18*(1+Assumptions!$C$19)^19*Assumptions!$N$6</x:f>
        <x:v>50.53900390751281</x:v>
      </x:c>
      <x:c r="W9" s="7" t="n">
        <x:f aca="0">Assumptions!$C$18*(1+Assumptions!$C$19)^20*Assumptions!$O$6</x:f>
        <x:v>53.06595410288844</x:v>
      </x:c>
      <x:c r="X9" s="7" t="n">
        <x:f aca="0">Assumptions!$C$18*(1+Assumptions!$C$19)^21*Assumptions!$P$6</x:f>
        <x:v>55.71925180803287</x:v>
      </x:c>
      <x:c r="Y9" s="7" t="n">
        <x:f aca="0">Assumptions!$C$18*(1+Assumptions!$C$19)^22*Assumptions!$Q$6</x:f>
        <x:v>58.50521439843452</x:v>
      </x:c>
      <x:c r="Z9" s="7" t="n">
        <x:f aca="0">Assumptions!$C$18*(1+Assumptions!$C$19)^23*Assumptions!$R$6</x:f>
        <x:v>61.43047511835625</x:v>
      </x:c>
    </x:row>
    <x:row r="10" ht="16.5" hidden="0" customHeight="1">
      <x:c r="A10" s="1" t="s">
        <x:v>296</x:v>
      </x:c>
      <x:c r="B10" s="1" t="s">
        <x:v>103</x:v>
      </x:c>
      <x:c r="C10" s="7" t="n">
        <x:f aca="0">C8*Assumptions!$C$21</x:f>
        <x:v>2.1</x:v>
      </x:c>
      <x:c r="D10" s="7" t="n">
        <x:f aca="0">C12*Assumptions!$C$21</x:f>
        <x:v>0.1764</x:v>
      </x:c>
      <x:c r="E10" s="7" t="n">
        <x:f aca="0">IF(3&lt;=Assumptions!$C$74,D12*Assumptions!$C$21,0)</x:f>
        <x:v>0</x:v>
      </x:c>
      <x:c r="F10" s="7" t="n">
        <x:f aca="0">IF(4&lt;=Assumptions!$C$74,E12*Assumptions!$C$21,0)</x:f>
        <x:v>0</x:v>
      </x:c>
      <x:c r="G10" s="7" t="n">
        <x:f aca="0">IF(5&lt;=Assumptions!$C$74,F12*Assumptions!$C$21,0)</x:f>
        <x:v>0</x:v>
      </x:c>
      <x:c r="H10" s="7" t="n">
        <x:f aca="0">IF(6&lt;=Assumptions!$C$74,G12*Assumptions!$C$21,0)</x:f>
        <x:v>0</x:v>
      </x:c>
      <x:c r="I10" s="7" t="n">
        <x:f aca="0">IF(7&lt;=Assumptions!$C$74,H12*Assumptions!$C$21,0)</x:f>
        <x:v>0</x:v>
      </x:c>
      <x:c r="J10" s="7" t="n">
        <x:f aca="0">IF(8&lt;=Assumptions!$C$74,I12*Assumptions!$C$21,0)</x:f>
        <x:v>0</x:v>
      </x:c>
      <x:c r="K10" s="7" t="n">
        <x:f aca="0">IF(9&lt;=Assumptions!$C$74,J12*Assumptions!$C$21,0)</x:f>
        <x:v>0</x:v>
      </x:c>
      <x:c r="L10" s="7" t="n">
        <x:f aca="0">IF(10&lt;=Assumptions!$C$74,K12*Assumptions!$C$21,0)</x:f>
        <x:v>0</x:v>
      </x:c>
      <x:c r="M10" s="7" t="n">
        <x:f aca="0">IF(11&lt;=Assumptions!$C$74,L12*Assumptions!$C$21,0)</x:f>
        <x:v>0</x:v>
      </x:c>
      <x:c r="N10" s="7" t="n">
        <x:f aca="0">IF(12&lt;=Assumptions!$C$74,M12*Assumptions!$C$21,0)</x:f>
        <x:v>0</x:v>
      </x:c>
      <x:c r="O10" s="7" t="n">
        <x:f aca="0">IF(13&lt;=Assumptions!$C$74,N12*Assumptions!$C$21,0)</x:f>
        <x:v>0</x:v>
      </x:c>
      <x:c r="P10" s="7" t="n">
        <x:f aca="0">IF(14&lt;=Assumptions!$C$74,O12*Assumptions!$C$21,0)</x:f>
        <x:v>0</x:v>
      </x:c>
      <x:c r="Q10" s="7" t="n">
        <x:f aca="0">IF(15&lt;=Assumptions!$C$74,P12*Assumptions!$C$21,0)</x:f>
        <x:v>0</x:v>
      </x:c>
      <x:c r="R10" s="7" t="n">
        <x:f aca="0">IF(16&lt;=Assumptions!$C$74,Q12*Assumptions!$C$21,0)</x:f>
        <x:v>0</x:v>
      </x:c>
      <x:c r="S10" s="7" t="n">
        <x:f aca="0">IF(17&lt;=Assumptions!$C$74,R12*Assumptions!$C$21,0)</x:f>
        <x:v>0</x:v>
      </x:c>
      <x:c r="T10" s="7" t="n">
        <x:f aca="0">IF(18&lt;=Assumptions!$C$74,S12*Assumptions!$C$21,0)</x:f>
        <x:v>0</x:v>
      </x:c>
      <x:c r="U10" s="7" t="n">
        <x:f aca="0">IF(19&lt;=Assumptions!$C$74,T12*Assumptions!$C$21,0)</x:f>
        <x:v>0</x:v>
      </x:c>
      <x:c r="V10" s="7" t="n">
        <x:f aca="0">IF(20&lt;=Assumptions!$C$74,U12*Assumptions!$C$21,0)</x:f>
        <x:v>0</x:v>
      </x:c>
      <x:c r="W10" s="7" t="n">
        <x:f aca="0">IF(21&lt;=Assumptions!$C$74,V12*Assumptions!$C$21,0)</x:f>
        <x:v>0</x:v>
      </x:c>
      <x:c r="X10" s="7" t="n">
        <x:f aca="0">IF(22&lt;=Assumptions!$C$74,W12*Assumptions!$C$21,0)</x:f>
        <x:v>0</x:v>
      </x:c>
      <x:c r="Y10" s="7" t="n">
        <x:f aca="0">IF(23&lt;=Assumptions!$C$74,X12*Assumptions!$C$21,0)</x:f>
        <x:v>0</x:v>
      </x:c>
      <x:c r="Z10" s="7" t="n">
        <x:f aca="0">IF(24&lt;=Assumptions!$C$74,Y12*Assumptions!$C$21,0)</x:f>
        <x:v>0</x:v>
      </x:c>
    </x:row>
    <x:row r="11" ht="16.5" hidden="0" customHeight="1">
      <x:c r="A11" s="1" t="s">
        <x:v>297</x:v>
      </x:c>
      <x:c r="B11" s="1" t="s">
        <x:v>103</x:v>
      </x:c>
      <x:c r="C11" s="7" t="n">
        <x:f aca="0">C10*Assumptions!$C$11*Assumptions!$C$22</x:f>
        <x:v>1.26</x:v>
      </x:c>
      <x:c r="D11" s="7" t="n">
        <x:f aca="0">D10*Assumptions!$C$11*Assumptions!$C$22</x:f>
        <x:v>0.10584</x:v>
      </x:c>
      <x:c r="E11" s="7" t="n">
        <x:f aca="0">E10*Assumptions!$C$11*Assumptions!$C$22</x:f>
        <x:v>0</x:v>
      </x:c>
      <x:c r="F11" s="7" t="n">
        <x:f aca="0">F10*Assumptions!$C$11*Assumptions!$C$22</x:f>
        <x:v>0</x:v>
      </x:c>
      <x:c r="G11" s="7" t="n">
        <x:f aca="0">G10*Assumptions!$C$11*Assumptions!$C$22</x:f>
        <x:v>0</x:v>
      </x:c>
      <x:c r="H11" s="7" t="n">
        <x:f aca="0">H10*Assumptions!$C$11*Assumptions!$C$22</x:f>
        <x:v>0</x:v>
      </x:c>
      <x:c r="I11" s="7" t="n">
        <x:f aca="0">I10*Assumptions!$C$11*Assumptions!$C$22</x:f>
        <x:v>0</x:v>
      </x:c>
      <x:c r="J11" s="7" t="n">
        <x:f aca="0">J10*Assumptions!$C$11*Assumptions!$C$22</x:f>
        <x:v>0</x:v>
      </x:c>
      <x:c r="K11" s="7" t="n">
        <x:f aca="0">K10*Assumptions!$C$11*Assumptions!$C$22</x:f>
        <x:v>0</x:v>
      </x:c>
      <x:c r="L11" s="7" t="n">
        <x:f aca="0">L10*Assumptions!$C$11*Assumptions!$C$22</x:f>
        <x:v>0</x:v>
      </x:c>
      <x:c r="M11" s="7" t="n">
        <x:f aca="0">M10*Assumptions!$C$11*Assumptions!$C$22</x:f>
        <x:v>0</x:v>
      </x:c>
      <x:c r="N11" s="7" t="n">
        <x:f aca="0">N10*Assumptions!$C$11*Assumptions!$C$22</x:f>
        <x:v>0</x:v>
      </x:c>
      <x:c r="O11" s="7" t="n">
        <x:f aca="0">O10*Assumptions!$C$11*Assumptions!$C$22</x:f>
        <x:v>0</x:v>
      </x:c>
      <x:c r="P11" s="7" t="n">
        <x:f aca="0">P10*Assumptions!$C$11*Assumptions!$C$22</x:f>
        <x:v>0</x:v>
      </x:c>
      <x:c r="Q11" s="7" t="n">
        <x:f aca="0">Q10*Assumptions!$C$11*Assumptions!$C$22</x:f>
        <x:v>0</x:v>
      </x:c>
      <x:c r="R11" s="7" t="n">
        <x:f aca="0">R10*Assumptions!$C$11*Assumptions!$C$22</x:f>
        <x:v>0</x:v>
      </x:c>
      <x:c r="S11" s="7" t="n">
        <x:f aca="0">S10*Assumptions!$C$11*Assumptions!$C$22</x:f>
        <x:v>0</x:v>
      </x:c>
      <x:c r="T11" s="7" t="n">
        <x:f aca="0">T10*Assumptions!$C$11*Assumptions!$C$22</x:f>
        <x:v>0</x:v>
      </x:c>
      <x:c r="U11" s="7" t="n">
        <x:f aca="0">U10*Assumptions!$C$11*Assumptions!$C$22</x:f>
        <x:v>0</x:v>
      </x:c>
      <x:c r="V11" s="7" t="n">
        <x:f aca="0">V10*Assumptions!$C$11*Assumptions!$C$22</x:f>
        <x:v>0</x:v>
      </x:c>
      <x:c r="W11" s="7" t="n">
        <x:f aca="0">W10*Assumptions!$C$11*Assumptions!$C$22</x:f>
        <x:v>0</x:v>
      </x:c>
      <x:c r="X11" s="7" t="n">
        <x:f aca="0">X10*Assumptions!$C$11*Assumptions!$C$22</x:f>
        <x:v>0</x:v>
      </x:c>
      <x:c r="Y11" s="7" t="n">
        <x:f aca="0">Y10*Assumptions!$C$11*Assumptions!$C$22</x:f>
        <x:v>0</x:v>
      </x:c>
      <x:c r="Z11" s="7" t="n">
        <x:f aca="0">Z10*Assumptions!$C$11*Assumptions!$C$22</x:f>
        <x:v>0</x:v>
      </x:c>
    </x:row>
    <x:row r="12" ht="16.5" hidden="0" customHeight="1">
      <x:c r="A12" s="1" t="s">
        <x:v>298</x:v>
      </x:c>
      <x:c r="B12" s="1" t="s">
        <x:v>103</x:v>
      </x:c>
      <x:c r="C12" s="7" t="n">
        <x:f aca="0">C11*Assumptions!$C$23</x:f>
        <x:v>0.8819999999999999</x:v>
      </x:c>
      <x:c r="D12" s="7" t="n">
        <x:f aca="0">D11*Assumptions!$C$23</x:f>
        <x:v>0.074088</x:v>
      </x:c>
      <x:c r="E12" s="7" t="n">
        <x:f aca="0">E11*Assumptions!$C$23</x:f>
        <x:v>0</x:v>
      </x:c>
      <x:c r="F12" s="7" t="n">
        <x:f aca="0">F11*Assumptions!$C$23</x:f>
        <x:v>0</x:v>
      </x:c>
      <x:c r="G12" s="7" t="n">
        <x:f aca="0">G11*Assumptions!$C$23</x:f>
        <x:v>0</x:v>
      </x:c>
      <x:c r="H12" s="7" t="n">
        <x:f aca="0">H11*Assumptions!$C$23</x:f>
        <x:v>0</x:v>
      </x:c>
      <x:c r="I12" s="7" t="n">
        <x:f aca="0">I11*Assumptions!$C$23</x:f>
        <x:v>0</x:v>
      </x:c>
      <x:c r="J12" s="7" t="n">
        <x:f aca="0">J11*Assumptions!$C$23</x:f>
        <x:v>0</x:v>
      </x:c>
      <x:c r="K12" s="7" t="n">
        <x:f aca="0">K11*Assumptions!$C$23</x:f>
        <x:v>0</x:v>
      </x:c>
      <x:c r="L12" s="7" t="n">
        <x:f aca="0">L11*Assumptions!$C$23</x:f>
        <x:v>0</x:v>
      </x:c>
      <x:c r="M12" s="7" t="n">
        <x:f aca="0">M11*Assumptions!$C$23</x:f>
        <x:v>0</x:v>
      </x:c>
      <x:c r="N12" s="7" t="n">
        <x:f aca="0">N11*Assumptions!$C$23</x:f>
        <x:v>0</x:v>
      </x:c>
      <x:c r="O12" s="7" t="n">
        <x:f aca="0">O11*Assumptions!$C$23</x:f>
        <x:v>0</x:v>
      </x:c>
      <x:c r="P12" s="7" t="n">
        <x:f aca="0">P11*Assumptions!$C$23</x:f>
        <x:v>0</x:v>
      </x:c>
      <x:c r="Q12" s="7" t="n">
        <x:f aca="0">Q11*Assumptions!$C$23</x:f>
        <x:v>0</x:v>
      </x:c>
      <x:c r="R12" s="7" t="n">
        <x:f aca="0">R11*Assumptions!$C$23</x:f>
        <x:v>0</x:v>
      </x:c>
      <x:c r="S12" s="7" t="n">
        <x:f aca="0">S11*Assumptions!$C$23</x:f>
        <x:v>0</x:v>
      </x:c>
      <x:c r="T12" s="7" t="n">
        <x:f aca="0">T11*Assumptions!$C$23</x:f>
        <x:v>0</x:v>
      </x:c>
      <x:c r="U12" s="7" t="n">
        <x:f aca="0">U11*Assumptions!$C$23</x:f>
        <x:v>0</x:v>
      </x:c>
      <x:c r="V12" s="7" t="n">
        <x:f aca="0">V11*Assumptions!$C$23</x:f>
        <x:v>0</x:v>
      </x:c>
      <x:c r="W12" s="7" t="n">
        <x:f aca="0">W11*Assumptions!$C$23</x:f>
        <x:v>0</x:v>
      </x:c>
      <x:c r="X12" s="7" t="n">
        <x:f aca="0">X11*Assumptions!$C$23</x:f>
        <x:v>0</x:v>
      </x:c>
      <x:c r="Y12" s="7" t="n">
        <x:f aca="0">Y11*Assumptions!$C$23</x:f>
        <x:v>0</x:v>
      </x:c>
      <x:c r="Z12" s="7" t="n">
        <x:f aca="0">Z11*Assumptions!$C$23</x:f>
        <x:v>0</x:v>
      </x:c>
    </x:row>
    <x:row r="13" ht="16.5" hidden="0" customHeight="1">
      <x:c r="A13" s="1" t="s">
        <x:v>299</x:v>
      </x:c>
      <x:c r="B13" s="1" t="s">
        <x:v>103</x:v>
      </x:c>
      <x:c r="C13" s="7" t="n">
        <x:f aca="0">C9*Assumptions!$C$20</x:f>
        <x:v>12</x:v>
      </x:c>
      <x:c r="D13" s="7" t="n">
        <x:f aca="0">D9*Assumptions!$C$20</x:f>
        <x:v>12.6</x:v>
      </x:c>
      <x:c r="E13" s="7" t="n">
        <x:f aca="0">E9*Assumptions!$C$20</x:f>
        <x:v>13.23</x:v>
      </x:c>
      <x:c r="F13" s="7" t="n">
        <x:f aca="0">F9*Assumptions!$C$20</x:f>
        <x:v>13.891500000000002</x:v>
      </x:c>
      <x:c r="G13" s="7" t="n">
        <x:f aca="0">G9*Assumptions!$C$20</x:f>
        <x:v>14.586075000000003</x:v>
      </x:c>
      <x:c r="H13" s="7" t="n">
        <x:f aca="0">H9*Assumptions!$C$20</x:f>
        <x:v>15.315378750000004</x:v>
      </x:c>
      <x:c r="I13" s="7" t="n">
        <x:f aca="0">I9*Assumptions!$C$20</x:f>
        <x:v>16.081147687500003</x:v>
      </x:c>
      <x:c r="J13" s="7" t="n">
        <x:f aca="0">J9*Assumptions!$C$20</x:f>
        <x:v>16.885205071875003</x:v>
      </x:c>
      <x:c r="K13" s="7" t="n">
        <x:f aca="0">K9*Assumptions!$C$20</x:f>
        <x:v>17.729465325468755</x:v>
      </x:c>
      <x:c r="L13" s="7" t="n">
        <x:f aca="0">L9*Assumptions!$C$20</x:f>
        <x:v>18.615938591742196</x:v>
      </x:c>
      <x:c r="M13" s="7" t="n">
        <x:f aca="0">M9*Assumptions!$C$20</x:f>
        <x:v>19.546735521329303</x:v>
      </x:c>
      <x:c r="N13" s="7" t="n">
        <x:f aca="0">N9*Assumptions!$C$20</x:f>
        <x:v>20.524072297395772</x:v>
      </x:c>
      <x:c r="O13" s="7" t="n">
        <x:f aca="0">O9*Assumptions!$C$20</x:f>
        <x:v>21.55027591226556</x:v>
      </x:c>
      <x:c r="P13" s="7" t="n">
        <x:f aca="0">P9*Assumptions!$C$20</x:f>
        <x:v>22.62778970787884</x:v>
      </x:c>
      <x:c r="Q13" s="7" t="n">
        <x:f aca="0">Q9*Assumptions!$C$20</x:f>
        <x:v>23.759179193272782</x:v>
      </x:c>
      <x:c r="R13" s="7" t="n">
        <x:f aca="0">R9*Assumptions!$C$20</x:f>
        <x:v>24.947138152936425</x:v>
      </x:c>
      <x:c r="S13" s="7" t="n">
        <x:f aca="0">S9*Assumptions!$C$20</x:f>
        <x:v>26.194495060583243</x:v>
      </x:c>
      <x:c r="T13" s="7" t="n">
        <x:f aca="0">T9*Assumptions!$C$20</x:f>
        <x:v>27.50421981361241</x:v>
      </x:c>
      <x:c r="U13" s="7" t="n">
        <x:f aca="0">U9*Assumptions!$C$20</x:f>
        <x:v>28.879430804293026</x:v>
      </x:c>
      <x:c r="V13" s="7" t="n">
        <x:f aca="0">V9*Assumptions!$C$20</x:f>
        <x:v>30.323402344507684</x:v>
      </x:c>
      <x:c r="W13" s="7" t="n">
        <x:f aca="0">W9*Assumptions!$C$20</x:f>
        <x:v>31.839572461733063</x:v>
      </x:c>
      <x:c r="X13" s="7" t="n">
        <x:f aca="0">X9*Assumptions!$C$20</x:f>
        <x:v>33.43155108481972</x:v>
      </x:c>
      <x:c r="Y13" s="7" t="n">
        <x:f aca="0">Y9*Assumptions!$C$20</x:f>
        <x:v>35.10312863906071</x:v>
      </x:c>
      <x:c r="Z13" s="7" t="n">
        <x:f aca="0">Z9*Assumptions!$C$20</x:f>
        <x:v>36.858285071013746</x:v>
      </x:c>
    </x:row>
    <x:row r="14" ht="16.5" hidden="0" customHeight="1">
      <x:c r="A14" s="10" t="s">
        <x:v>300</x:v>
      </x:c>
      <x:c r="B14" s="10" t="s">
        <x:v>103</x:v>
      </x:c>
      <x:c r="C14" s="32" t="n">
        <x:f aca="0">SUM(C7,C9,C11)</x:f>
        <x:v>36.26</x:v>
      </x:c>
      <x:c r="D14" s="32" t="n">
        <x:f aca="0">SUM(D7,D9,D11)</x:f>
        <x:v>21.10584</x:v>
      </x:c>
      <x:c r="E14" s="32" t="n">
        <x:f aca="0">SUM(E7,E9,E11)</x:f>
        <x:v>22.05</x:v>
      </x:c>
      <x:c r="F14" s="32" t="n">
        <x:f aca="0">SUM(F7,F9,F11)</x:f>
        <x:v>23.152500000000003</x:v>
      </x:c>
      <x:c r="G14" s="32" t="n">
        <x:f aca="0">SUM(G7,G9,G11)</x:f>
        <x:v>24.310125000000006</x:v>
      </x:c>
      <x:c r="H14" s="32" t="n">
        <x:f aca="0">SUM(H7,H9,H11)</x:f>
        <x:v>25.525631250000007</x:v>
      </x:c>
      <x:c r="I14" s="32" t="n">
        <x:f aca="0">SUM(I7,I9,I11)</x:f>
        <x:v>26.801912812500007</x:v>
      </x:c>
      <x:c r="J14" s="32" t="n">
        <x:f aca="0">SUM(J7,J9,J11)</x:f>
        <x:v>28.14200845312501</x:v>
      </x:c>
      <x:c r="K14" s="32" t="n">
        <x:f aca="0">SUM(K7,K9,K11)</x:f>
        <x:v>29.54910887578126</x:v>
      </x:c>
      <x:c r="L14" s="32" t="n">
        <x:f aca="0">SUM(L7,L9,L11)</x:f>
        <x:v>31.026564319570326</x:v>
      </x:c>
      <x:c r="M14" s="32" t="n">
        <x:f aca="0">SUM(M7,M9,M11)</x:f>
        <x:v>32.57789253554884</x:v>
      </x:c>
      <x:c r="N14" s="32" t="n">
        <x:f aca="0">SUM(N7,N9,N11)</x:f>
        <x:v>34.206787162326286</x:v>
      </x:c>
      <x:c r="O14" s="32" t="n">
        <x:f aca="0">SUM(O7,O9,O11)</x:f>
        <x:v>35.9171265204426</x:v>
      </x:c>
      <x:c r="P14" s="32" t="n">
        <x:f aca="0">SUM(P7,P9,P11)</x:f>
        <x:v>37.71298284646473</x:v>
      </x:c>
      <x:c r="Q14" s="32" t="n">
        <x:f aca="0">SUM(Q7,Q9,Q11)</x:f>
        <x:v>39.59863198878797</x:v>
      </x:c>
      <x:c r="R14" s="32" t="n">
        <x:f aca="0">SUM(R7,R9,R11)</x:f>
        <x:v>41.578563588227375</x:v>
      </x:c>
      <x:c r="S14" s="32" t="n">
        <x:f aca="0">SUM(S7,S9,S11)</x:f>
        <x:v>43.65749176763874</x:v>
      </x:c>
      <x:c r="T14" s="32" t="n">
        <x:f aca="0">SUM(T7,T9,T11)</x:f>
        <x:v>45.84036635602068</x:v>
      </x:c>
      <x:c r="U14" s="32" t="n">
        <x:f aca="0">SUM(U7,U9,U11)</x:f>
        <x:v>48.13238467382171</x:v>
      </x:c>
      <x:c r="V14" s="32" t="n">
        <x:f aca="0">SUM(V7,V9,V11)</x:f>
        <x:v>50.53900390751281</x:v>
      </x:c>
      <x:c r="W14" s="32" t="n">
        <x:f aca="0">SUM(W7,W9,W11)</x:f>
        <x:v>53.06595410288844</x:v>
      </x:c>
      <x:c r="X14" s="32" t="n">
        <x:f aca="0">SUM(X7,X9,X11)</x:f>
        <x:v>55.71925180803287</x:v>
      </x:c>
      <x:c r="Y14" s="32" t="n">
        <x:f aca="0">SUM(Y7,Y9,Y11)</x:f>
        <x:v>58.50521439843452</x:v>
      </x:c>
      <x:c r="Z14" s="32" t="n">
        <x:f aca="0">SUM(Z7,Z9,Z11)</x:f>
        <x:v>61.43047511835625</x:v>
      </x:c>
    </x:row>
    <x:row r="15" ht="16.5" hidden="0" customHeight="1">
      <x:c r="A15" s="10" t="s">
        <x:v>301</x:v>
      </x:c>
      <x:c r="B15" s="10" t="s">
        <x:v>103</x:v>
      </x:c>
      <x:c r="C15" s="32" t="n">
        <x:f aca="0">SUM(C8,C13,C12)</x:f>
        <x:v>23.382</x:v>
      </x:c>
      <x:c r="D15" s="32" t="n">
        <x:f aca="0">SUM(D8,D13,D12)</x:f>
        <x:v>12.674088</x:v>
      </x:c>
      <x:c r="E15" s="32" t="n">
        <x:f aca="0">SUM(E8,E13,E12)</x:f>
        <x:v>13.23</x:v>
      </x:c>
      <x:c r="F15" s="32" t="n">
        <x:f aca="0">SUM(F8,F13,F12)</x:f>
        <x:v>13.891500000000002</x:v>
      </x:c>
      <x:c r="G15" s="32" t="n">
        <x:f aca="0">SUM(G8,G13,G12)</x:f>
        <x:v>14.586075000000003</x:v>
      </x:c>
      <x:c r="H15" s="32" t="n">
        <x:f aca="0">SUM(H8,H13,H12)</x:f>
        <x:v>15.315378750000004</x:v>
      </x:c>
      <x:c r="I15" s="32" t="n">
        <x:f aca="0">SUM(I8,I13,I12)</x:f>
        <x:v>16.081147687500003</x:v>
      </x:c>
      <x:c r="J15" s="32" t="n">
        <x:f aca="0">SUM(J8,J13,J12)</x:f>
        <x:v>16.885205071875003</x:v>
      </x:c>
      <x:c r="K15" s="32" t="n">
        <x:f aca="0">SUM(K8,K13,K12)</x:f>
        <x:v>17.729465325468755</x:v>
      </x:c>
      <x:c r="L15" s="32" t="n">
        <x:f aca="0">SUM(L8,L13,L12)</x:f>
        <x:v>18.615938591742196</x:v>
      </x:c>
      <x:c r="M15" s="32" t="n">
        <x:f aca="0">SUM(M8,M13,M12)</x:f>
        <x:v>19.546735521329303</x:v>
      </x:c>
      <x:c r="N15" s="32" t="n">
        <x:f aca="0">SUM(N8,N13,N12)</x:f>
        <x:v>20.524072297395772</x:v>
      </x:c>
      <x:c r="O15" s="32" t="n">
        <x:f aca="0">SUM(O8,O13,O12)</x:f>
        <x:v>21.55027591226556</x:v>
      </x:c>
      <x:c r="P15" s="32" t="n">
        <x:f aca="0">SUM(P8,P13,P12)</x:f>
        <x:v>22.62778970787884</x:v>
      </x:c>
      <x:c r="Q15" s="32" t="n">
        <x:f aca="0">SUM(Q8,Q13,Q12)</x:f>
        <x:v>23.759179193272782</x:v>
      </x:c>
      <x:c r="R15" s="32" t="n">
        <x:f aca="0">SUM(R8,R13,R12)</x:f>
        <x:v>24.947138152936425</x:v>
      </x:c>
      <x:c r="S15" s="32" t="n">
        <x:f aca="0">SUM(S8,S13,S12)</x:f>
        <x:v>26.194495060583243</x:v>
      </x:c>
      <x:c r="T15" s="32" t="n">
        <x:f aca="0">SUM(T8,T13,T12)</x:f>
        <x:v>27.50421981361241</x:v>
      </x:c>
      <x:c r="U15" s="32" t="n">
        <x:f aca="0">SUM(U8,U13,U12)</x:f>
        <x:v>28.879430804293026</x:v>
      </x:c>
      <x:c r="V15" s="32" t="n">
        <x:f aca="0">SUM(V8,V13,V12)</x:f>
        <x:v>30.323402344507684</x:v>
      </x:c>
      <x:c r="W15" s="32" t="n">
        <x:f aca="0">SUM(W8,W13,W12)</x:f>
        <x:v>31.839572461733063</x:v>
      </x:c>
      <x:c r="X15" s="32" t="n">
        <x:f aca="0">SUM(X8,X13,X12)</x:f>
        <x:v>33.43155108481972</x:v>
      </x:c>
      <x:c r="Y15" s="32" t="n">
        <x:f aca="0">SUM(Y8,Y13,Y12)</x:f>
        <x:v>35.10312863906071</x:v>
      </x:c>
      <x:c r="Z15" s="32" t="n">
        <x:f aca="0">SUM(Z8,Z13,Z12)</x:f>
        <x:v>36.858285071013746</x:v>
      </x:c>
    </x:row>
    <x:row r="16" ht="16.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6.5" hidden="0" customHeight="1">
      <x:c r="A17" s="5" t="s">
        <x:v>302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16.5" hidden="0" customHeight="1">
      <x:c r="A18" s="1" t="s">
        <x:v>303</x:v>
      </x:c>
      <x:c r="B18" s="1" t="s">
        <x:v>103</x:v>
      </x:c>
      <x:c r="C18" s="7" t="n">
        <x:f aca="0">SUM(IF(0=MAX(1,ROUNDUP(Assumptions!$C$9/30,0)),C13*Assumptions!$C$24,0))</x:f>
        <x:v>0</x:v>
      </x:c>
      <x:c r="D18" s="7" t="n">
        <x:f aca="0">SUM(IF(1=MAX(1,ROUNDUP(Assumptions!$C$9/30,0)),C13*Assumptions!$C$24,0),IF(0=MAX(1,ROUNDUP(Assumptions!$C$9/30,0)),D13*Assumptions!$C$24,0))</x:f>
        <x:v>3</x:v>
      </x:c>
      <x:c r="E18" s="7" t="n">
        <x:f aca="0">SUM(IF(2=MAX(1,ROUNDUP(Assumptions!$C$9/30,0)),C13*Assumptions!$C$24,0),IF(1=MAX(1,ROUNDUP(Assumptions!$C$9/30,0)),D13*Assumptions!$C$24,0),IF(0=MAX(1,ROUNDUP(Assumptions!$C$9/30,0)),E13*Assumptions!$C$24,0))</x:f>
        <x:v>3.15</x:v>
      </x:c>
      <x:c r="F18" s="7" t="n">
        <x:f aca="0">SUM(IF(3=MAX(1,ROUNDUP(Assumptions!$C$9/30,0)),C13*Assumptions!$C$24,0),IF(2=MAX(1,ROUNDUP(Assumptions!$C$9/30,0)),D13*Assumptions!$C$24,0),IF(1=MAX(1,ROUNDUP(Assumptions!$C$9/30,0)),E13*Assumptions!$C$24,0),IF(0=MAX(1,ROUNDUP(Assumptions!$C$9/30,0)),F13*Assumptions!$C$24,0))</x:f>
        <x:v>3.3075</x:v>
      </x:c>
      <x:c r="G18" s="7" t="n">
        <x:f aca="0">SUM(IF(4=MAX(1,ROUNDUP(Assumptions!$C$9/30,0)),C13*Assumptions!$C$24,0),IF(3=MAX(1,ROUNDUP(Assumptions!$C$9/30,0)),D13*Assumptions!$C$24,0),IF(2=MAX(1,ROUNDUP(Assumptions!$C$9/30,0)),E13*Assumptions!$C$24,0),IF(1=MAX(1,ROUNDUP(Assumptions!$C$9/30,0)),F13*Assumptions!$C$24,0),IF(0=MAX(1,ROUNDUP(Assumptions!$C$9/30,0)),G13*Assumptions!$C$24,0))</x:f>
        <x:v>3.4728750000000006</x:v>
      </x:c>
      <x:c r="H18" s="7" t="n">
        <x:f aca="0">SUM(IF(5=MAX(1,ROUNDUP(Assumptions!$C$9/30,0)),C13*Assumptions!$C$24,0),IF(4=MAX(1,ROUNDUP(Assumptions!$C$9/30,0)),D13*Assumptions!$C$24,0),IF(3=MAX(1,ROUNDUP(Assumptions!$C$9/30,0)),E13*Assumptions!$C$24,0),IF(2=MAX(1,ROUNDUP(Assumptions!$C$9/30,0)),F13*Assumptions!$C$24,0),IF(1=MAX(1,ROUNDUP(Assumptions!$C$9/30,0)),G13*Assumptions!$C$24,0),IF(0=MAX(1,ROUNDUP(Assumptions!$C$9/30,0)),H13*Assumptions!$C$24,0))</x:f>
        <x:v>3.6465187500000007</x:v>
      </x:c>
      <x:c r="I18" s="7" t="n">
        <x:f aca="0">SUM(IF(6=MAX(1,ROUNDUP(Assumptions!$C$9/30,0)),C13*Assumptions!$C$24,0),IF(5=MAX(1,ROUNDUP(Assumptions!$C$9/30,0)),D13*Assumptions!$C$24,0),IF(4=MAX(1,ROUNDUP(Assumptions!$C$9/30,0)),E13*Assumptions!$C$24,0),IF(3=MAX(1,ROUNDUP(Assumptions!$C$9/30,0)),F13*Assumptions!$C$24,0),IF(2=MAX(1,ROUNDUP(Assumptions!$C$9/30,0)),G13*Assumptions!$C$24,0),IF(1=MAX(1,ROUNDUP(Assumptions!$C$9/30,0)),H13*Assumptions!$C$24,0),IF(0=MAX(1,ROUNDUP(Assumptions!$C$9/30,0)),I13*Assumptions!$C$24,0))</x:f>
        <x:v>3.828844687500001</x:v>
      </x:c>
      <x:c r="J18" s="7" t="n">
        <x:f aca="0">SUM(IF(7=MAX(1,ROUNDUP(Assumptions!$C$9/30,0)),C13*Assumptions!$C$24,0),IF(6=MAX(1,ROUNDUP(Assumptions!$C$9/30,0)),D13*Assumptions!$C$24,0),IF(5=MAX(1,ROUNDUP(Assumptions!$C$9/30,0)),E13*Assumptions!$C$24,0),IF(4=MAX(1,ROUNDUP(Assumptions!$C$9/30,0)),F13*Assumptions!$C$24,0),IF(3=MAX(1,ROUNDUP(Assumptions!$C$9/30,0)),G13*Assumptions!$C$24,0),IF(2=MAX(1,ROUNDUP(Assumptions!$C$9/30,0)),H13*Assumptions!$C$24,0),IF(1=MAX(1,ROUNDUP(Assumptions!$C$9/30,0)),I13*Assumptions!$C$24,0),IF(0=MAX(1,ROUNDUP(Assumptions!$C$9/30,0)),J13*Assumptions!$C$24,0))</x:f>
        <x:v>4.020286921875001</x:v>
      </x:c>
      <x:c r="K18" s="7" t="n">
        <x:f aca="0">SUM(IF(8=MAX(1,ROUNDUP(Assumptions!$C$9/30,0)),C13*Assumptions!$C$24,0),IF(7=MAX(1,ROUNDUP(Assumptions!$C$9/30,0)),D13*Assumptions!$C$24,0),IF(6=MAX(1,ROUNDUP(Assumptions!$C$9/30,0)),E13*Assumptions!$C$24,0),IF(5=MAX(1,ROUNDUP(Assumptions!$C$9/30,0)),F13*Assumptions!$C$24,0),IF(4=MAX(1,ROUNDUP(Assumptions!$C$9/30,0)),G13*Assumptions!$C$24,0),IF(3=MAX(1,ROUNDUP(Assumptions!$C$9/30,0)),H13*Assumptions!$C$24,0),IF(2=MAX(1,ROUNDUP(Assumptions!$C$9/30,0)),I13*Assumptions!$C$24,0),IF(1=MAX(1,ROUNDUP(Assumptions!$C$9/30,0)),J13*Assumptions!$C$24,0),IF(0=MAX(1,ROUNDUP(Assumptions!$C$9/30,0)),K13*Assumptions!$C$24,0))</x:f>
        <x:v>4.221301267968751</x:v>
      </x:c>
      <x:c r="L18" s="7" t="n">
        <x:f aca="0">SUM(IF(9=MAX(1,ROUNDUP(Assumptions!$C$9/30,0)),C13*Assumptions!$C$24,0),IF(8=MAX(1,ROUNDUP(Assumptions!$C$9/30,0)),D13*Assumptions!$C$24,0),IF(7=MAX(1,ROUNDUP(Assumptions!$C$9/30,0)),E13*Assumptions!$C$24,0),IF(6=MAX(1,ROUNDUP(Assumptions!$C$9/30,0)),F13*Assumptions!$C$24,0),IF(5=MAX(1,ROUNDUP(Assumptions!$C$9/30,0)),G13*Assumptions!$C$24,0),IF(4=MAX(1,ROUNDUP(Assumptions!$C$9/30,0)),H13*Assumptions!$C$24,0),IF(3=MAX(1,ROUNDUP(Assumptions!$C$9/30,0)),I13*Assumptions!$C$24,0),IF(2=MAX(1,ROUNDUP(Assumptions!$C$9/30,0)),J13*Assumptions!$C$24,0),IF(1=MAX(1,ROUNDUP(Assumptions!$C$9/30,0)),K13*Assumptions!$C$24,0),IF(0=MAX(1,ROUNDUP(Assumptions!$C$9/30,0)),L13*Assumptions!$C$24,0))</x:f>
        <x:v>4.432366331367189</x:v>
      </x:c>
      <x:c r="M18" s="7" t="n">
        <x:f aca="0">SUM(IF(10=MAX(1,ROUNDUP(Assumptions!$C$9/30,0)),C13*Assumptions!$C$24,0),IF(9=MAX(1,ROUNDUP(Assumptions!$C$9/30,0)),D13*Assumptions!$C$24,0),IF(8=MAX(1,ROUNDUP(Assumptions!$C$9/30,0)),E13*Assumptions!$C$24,0),IF(7=MAX(1,ROUNDUP(Assumptions!$C$9/30,0)),F13*Assumptions!$C$24,0),IF(6=MAX(1,ROUNDUP(Assumptions!$C$9/30,0)),G13*Assumptions!$C$24,0),IF(5=MAX(1,ROUNDUP(Assumptions!$C$9/30,0)),H13*Assumptions!$C$24,0),IF(4=MAX(1,ROUNDUP(Assumptions!$C$9/30,0)),I13*Assumptions!$C$24,0),IF(3=MAX(1,ROUNDUP(Assumptions!$C$9/30,0)),J13*Assumptions!$C$24,0),IF(2=MAX(1,ROUNDUP(Assumptions!$C$9/30,0)),K13*Assumptions!$C$24,0),IF(1=MAX(1,ROUNDUP(Assumptions!$C$9/30,0)),L13*Assumptions!$C$24,0),IF(0=MAX(1,ROUNDUP(Assumptions!$C$9/30,0)),M13*Assumptions!$C$24,0))</x:f>
        <x:v>4.653984647935549</x:v>
      </x:c>
      <x:c r="N18" s="7" t="n">
        <x:f aca="0">SUM(IF(11=MAX(1,ROUNDUP(Assumptions!$C$9/30,0)),C13*Assumptions!$C$24,0),IF(10=MAX(1,ROUNDUP(Assumptions!$C$9/30,0)),D13*Assumptions!$C$24,0),IF(9=MAX(1,ROUNDUP(Assumptions!$C$9/30,0)),E13*Assumptions!$C$24,0),IF(8=MAX(1,ROUNDUP(Assumptions!$C$9/30,0)),F13*Assumptions!$C$24,0),IF(7=MAX(1,ROUNDUP(Assumptions!$C$9/30,0)),G13*Assumptions!$C$24,0),IF(6=MAX(1,ROUNDUP(Assumptions!$C$9/30,0)),H13*Assumptions!$C$24,0),IF(5=MAX(1,ROUNDUP(Assumptions!$C$9/30,0)),I13*Assumptions!$C$24,0),IF(4=MAX(1,ROUNDUP(Assumptions!$C$9/30,0)),J13*Assumptions!$C$24,0),IF(3=MAX(1,ROUNDUP(Assumptions!$C$9/30,0)),K13*Assumptions!$C$24,0),IF(2=MAX(1,ROUNDUP(Assumptions!$C$9/30,0)),L13*Assumptions!$C$24,0),IF(1=MAX(1,ROUNDUP(Assumptions!$C$9/30,0)),M13*Assumptions!$C$24,0),IF(0=MAX(1,ROUNDUP(Assumptions!$C$9/30,0)),N13*Assumptions!$C$24,0))</x:f>
        <x:v>4.886683880332326</x:v>
      </x:c>
      <x:c r="O18" s="7" t="n">
        <x:f aca="0">SUM(IF(12=MAX(1,ROUNDUP(Assumptions!$C$9/30,0)),C13*Assumptions!$C$24,0),IF(11=MAX(1,ROUNDUP(Assumptions!$C$9/30,0)),D13*Assumptions!$C$24,0),IF(10=MAX(1,ROUNDUP(Assumptions!$C$9/30,0)),E13*Assumptions!$C$24,0),IF(9=MAX(1,ROUNDUP(Assumptions!$C$9/30,0)),F13*Assumptions!$C$24,0),IF(8=MAX(1,ROUNDUP(Assumptions!$C$9/30,0)),G13*Assumptions!$C$24,0),IF(7=MAX(1,ROUNDUP(Assumptions!$C$9/30,0)),H13*Assumptions!$C$24,0),IF(6=MAX(1,ROUNDUP(Assumptions!$C$9/30,0)),I13*Assumptions!$C$24,0),IF(5=MAX(1,ROUNDUP(Assumptions!$C$9/30,0)),J13*Assumptions!$C$24,0),IF(4=MAX(1,ROUNDUP(Assumptions!$C$9/30,0)),K13*Assumptions!$C$24,0),IF(3=MAX(1,ROUNDUP(Assumptions!$C$9/30,0)),L13*Assumptions!$C$24,0),IF(2=MAX(1,ROUNDUP(Assumptions!$C$9/30,0)),M13*Assumptions!$C$24,0),IF(1=MAX(1,ROUNDUP(Assumptions!$C$9/30,0)),N13*Assumptions!$C$24,0),IF(0=MAX(1,ROUNDUP(Assumptions!$C$9/30,0)),O13*Assumptions!$C$24,0))</x:f>
        <x:v>5.131018074348943</x:v>
      </x:c>
      <x:c r="P18" s="7" t="n">
        <x:f aca="0">SUM(IF(13=MAX(1,ROUNDUP(Assumptions!$C$9/30,0)),C13*Assumptions!$C$24,0),IF(12=MAX(1,ROUNDUP(Assumptions!$C$9/30,0)),D13*Assumptions!$C$24,0),IF(11=MAX(1,ROUNDUP(Assumptions!$C$9/30,0)),E13*Assumptions!$C$24,0),IF(10=MAX(1,ROUNDUP(Assumptions!$C$9/30,0)),F13*Assumptions!$C$24,0),IF(9=MAX(1,ROUNDUP(Assumptions!$C$9/30,0)),G13*Assumptions!$C$24,0),IF(8=MAX(1,ROUNDUP(Assumptions!$C$9/30,0)),H13*Assumptions!$C$24,0),IF(7=MAX(1,ROUNDUP(Assumptions!$C$9/30,0)),I13*Assumptions!$C$24,0),IF(6=MAX(1,ROUNDUP(Assumptions!$C$9/30,0)),J13*Assumptions!$C$24,0),IF(5=MAX(1,ROUNDUP(Assumptions!$C$9/30,0)),K13*Assumptions!$C$24,0),IF(4=MAX(1,ROUNDUP(Assumptions!$C$9/30,0)),L13*Assumptions!$C$24,0),IF(3=MAX(1,ROUNDUP(Assumptions!$C$9/30,0)),M13*Assumptions!$C$24,0),IF(2=MAX(1,ROUNDUP(Assumptions!$C$9/30,0)),N13*Assumptions!$C$24,0),IF(1=MAX(1,ROUNDUP(Assumptions!$C$9/30,0)),O13*Assumptions!$C$24,0),IF(0=MAX(1,ROUNDUP(Assumptions!$C$9/30,0)),P13*Assumptions!$C$24,0))</x:f>
        <x:v>5.38756897806639</x:v>
      </x:c>
      <x:c r="Q18" s="7" t="n">
        <x:f aca="0">SUM(IF(14=MAX(1,ROUNDUP(Assumptions!$C$9/30,0)),C13*Assumptions!$C$24,0),IF(13=MAX(1,ROUNDUP(Assumptions!$C$9/30,0)),D13*Assumptions!$C$24,0),IF(12=MAX(1,ROUNDUP(Assumptions!$C$9/30,0)),E13*Assumptions!$C$24,0),IF(11=MAX(1,ROUNDUP(Assumptions!$C$9/30,0)),F13*Assumptions!$C$24,0),IF(10=MAX(1,ROUNDUP(Assumptions!$C$9/30,0)),G13*Assumptions!$C$24,0),IF(9=MAX(1,ROUNDUP(Assumptions!$C$9/30,0)),H13*Assumptions!$C$24,0),IF(8=MAX(1,ROUNDUP(Assumptions!$C$9/30,0)),I13*Assumptions!$C$24,0),IF(7=MAX(1,ROUNDUP(Assumptions!$C$9/30,0)),J13*Assumptions!$C$24,0),IF(6=MAX(1,ROUNDUP(Assumptions!$C$9/30,0)),K13*Assumptions!$C$24,0),IF(5=MAX(1,ROUNDUP(Assumptions!$C$9/30,0)),L13*Assumptions!$C$24,0),IF(4=MAX(1,ROUNDUP(Assumptions!$C$9/30,0)),M13*Assumptions!$C$24,0),IF(3=MAX(1,ROUNDUP(Assumptions!$C$9/30,0)),N13*Assumptions!$C$24,0),IF(2=MAX(1,ROUNDUP(Assumptions!$C$9/30,0)),O13*Assumptions!$C$24,0),IF(1=MAX(1,ROUNDUP(Assumptions!$C$9/30,0)),P13*Assumptions!$C$24,0),IF(0=MAX(1,ROUNDUP(Assumptions!$C$9/30,0)),Q13*Assumptions!$C$24,0))</x:f>
        <x:v>5.65694742696971</x:v>
      </x:c>
      <x:c r="R18" s="7" t="n">
        <x:f aca="0">SUM(IF(15=MAX(1,ROUNDUP(Assumptions!$C$9/30,0)),C13*Assumptions!$C$24,0),IF(14=MAX(1,ROUNDUP(Assumptions!$C$9/30,0)),D13*Assumptions!$C$24,0),IF(13=MAX(1,ROUNDUP(Assumptions!$C$9/30,0)),E13*Assumptions!$C$24,0),IF(12=MAX(1,ROUNDUP(Assumptions!$C$9/30,0)),F13*Assumptions!$C$24,0),IF(11=MAX(1,ROUNDUP(Assumptions!$C$9/30,0)),G13*Assumptions!$C$24,0),IF(10=MAX(1,ROUNDUP(Assumptions!$C$9/30,0)),H13*Assumptions!$C$24,0),IF(9=MAX(1,ROUNDUP(Assumptions!$C$9/30,0)),I13*Assumptions!$C$24,0),IF(8=MAX(1,ROUNDUP(Assumptions!$C$9/30,0)),J13*Assumptions!$C$24,0),IF(7=MAX(1,ROUNDUP(Assumptions!$C$9/30,0)),K13*Assumptions!$C$24,0),IF(6=MAX(1,ROUNDUP(Assumptions!$C$9/30,0)),L13*Assumptions!$C$24,0),IF(5=MAX(1,ROUNDUP(Assumptions!$C$9/30,0)),M13*Assumptions!$C$24,0),IF(4=MAX(1,ROUNDUP(Assumptions!$C$9/30,0)),N13*Assumptions!$C$24,0),IF(3=MAX(1,ROUNDUP(Assumptions!$C$9/30,0)),O13*Assumptions!$C$24,0),IF(2=MAX(1,ROUNDUP(Assumptions!$C$9/30,0)),P13*Assumptions!$C$24,0),IF(1=MAX(1,ROUNDUP(Assumptions!$C$9/30,0)),Q13*Assumptions!$C$24,0),IF(0=MAX(1,ROUNDUP(Assumptions!$C$9/30,0)),R13*Assumptions!$C$24,0))</x:f>
        <x:v>5.939794798318196</x:v>
      </x:c>
      <x:c r="S18" s="7" t="n">
        <x:f aca="0">SUM(IF(16=MAX(1,ROUNDUP(Assumptions!$C$9/30,0)),C13*Assumptions!$C$24,0),IF(15=MAX(1,ROUNDUP(Assumptions!$C$9/30,0)),D13*Assumptions!$C$24,0),IF(14=MAX(1,ROUNDUP(Assumptions!$C$9/30,0)),E13*Assumptions!$C$24,0),IF(13=MAX(1,ROUNDUP(Assumptions!$C$9/30,0)),F13*Assumptions!$C$24,0),IF(12=MAX(1,ROUNDUP(Assumptions!$C$9/30,0)),G13*Assumptions!$C$24,0),IF(11=MAX(1,ROUNDUP(Assumptions!$C$9/30,0)),H13*Assumptions!$C$24,0),IF(10=MAX(1,ROUNDUP(Assumptions!$C$9/30,0)),I13*Assumptions!$C$24,0),IF(9=MAX(1,ROUNDUP(Assumptions!$C$9/30,0)),J13*Assumptions!$C$24,0),IF(8=MAX(1,ROUNDUP(Assumptions!$C$9/30,0)),K13*Assumptions!$C$24,0),IF(7=MAX(1,ROUNDUP(Assumptions!$C$9/30,0)),L13*Assumptions!$C$24,0),IF(6=MAX(1,ROUNDUP(Assumptions!$C$9/30,0)),M13*Assumptions!$C$24,0),IF(5=MAX(1,ROUNDUP(Assumptions!$C$9/30,0)),N13*Assumptions!$C$24,0),IF(4=MAX(1,ROUNDUP(Assumptions!$C$9/30,0)),O13*Assumptions!$C$24,0),IF(3=MAX(1,ROUNDUP(Assumptions!$C$9/30,0)),P13*Assumptions!$C$24,0),IF(2=MAX(1,ROUNDUP(Assumptions!$C$9/30,0)),Q13*Assumptions!$C$24,0),IF(1=MAX(1,ROUNDUP(Assumptions!$C$9/30,0)),R13*Assumptions!$C$24,0),IF(0=MAX(1,ROUNDUP(Assumptions!$C$9/30,0)),S13*Assumptions!$C$24,0))</x:f>
        <x:v>6.236784538234106</x:v>
      </x:c>
      <x:c r="T18" s="7" t="n">
        <x:f aca="0">SUM(IF(17=MAX(1,ROUNDUP(Assumptions!$C$9/30,0)),C13*Assumptions!$C$24,0),IF(16=MAX(1,ROUNDUP(Assumptions!$C$9/30,0)),D13*Assumptions!$C$24,0),IF(15=MAX(1,ROUNDUP(Assumptions!$C$9/30,0)),E13*Assumptions!$C$24,0),IF(14=MAX(1,ROUNDUP(Assumptions!$C$9/30,0)),F13*Assumptions!$C$24,0),IF(13=MAX(1,ROUNDUP(Assumptions!$C$9/30,0)),G13*Assumptions!$C$24,0),IF(12=MAX(1,ROUNDUP(Assumptions!$C$9/30,0)),H13*Assumptions!$C$24,0),IF(11=MAX(1,ROUNDUP(Assumptions!$C$9/30,0)),I13*Assumptions!$C$24,0),IF(10=MAX(1,ROUNDUP(Assumptions!$C$9/30,0)),J13*Assumptions!$C$24,0),IF(9=MAX(1,ROUNDUP(Assumptions!$C$9/30,0)),K13*Assumptions!$C$24,0),IF(8=MAX(1,ROUNDUP(Assumptions!$C$9/30,0)),L13*Assumptions!$C$24,0),IF(7=MAX(1,ROUNDUP(Assumptions!$C$9/30,0)),M13*Assumptions!$C$24,0),IF(6=MAX(1,ROUNDUP(Assumptions!$C$9/30,0)),N13*Assumptions!$C$24,0),IF(5=MAX(1,ROUNDUP(Assumptions!$C$9/30,0)),O13*Assumptions!$C$24,0),IF(4=MAX(1,ROUNDUP(Assumptions!$C$9/30,0)),P13*Assumptions!$C$24,0),IF(3=MAX(1,ROUNDUP(Assumptions!$C$9/30,0)),Q13*Assumptions!$C$24,0),IF(2=MAX(1,ROUNDUP(Assumptions!$C$9/30,0)),R13*Assumptions!$C$24,0),IF(1=MAX(1,ROUNDUP(Assumptions!$C$9/30,0)),S13*Assumptions!$C$24,0),IF(0=MAX(1,ROUNDUP(Assumptions!$C$9/30,0)),T13*Assumptions!$C$24,0))</x:f>
        <x:v>6.548623765145811</x:v>
      </x:c>
      <x:c r="U18" s="7" t="n">
        <x:f aca="0">SUM(IF(18=MAX(1,ROUNDUP(Assumptions!$C$9/30,0)),C13*Assumptions!$C$24,0),IF(17=MAX(1,ROUNDUP(Assumptions!$C$9/30,0)),D13*Assumptions!$C$24,0),IF(16=MAX(1,ROUNDUP(Assumptions!$C$9/30,0)),E13*Assumptions!$C$24,0),IF(15=MAX(1,ROUNDUP(Assumptions!$C$9/30,0)),F13*Assumptions!$C$24,0),IF(14=MAX(1,ROUNDUP(Assumptions!$C$9/30,0)),G13*Assumptions!$C$24,0),IF(13=MAX(1,ROUNDUP(Assumptions!$C$9/30,0)),H13*Assumptions!$C$24,0),IF(12=MAX(1,ROUNDUP(Assumptions!$C$9/30,0)),I13*Assumptions!$C$24,0),IF(11=MAX(1,ROUNDUP(Assumptions!$C$9/30,0)),J13*Assumptions!$C$24,0),IF(10=MAX(1,ROUNDUP(Assumptions!$C$9/30,0)),K13*Assumptions!$C$24,0),IF(9=MAX(1,ROUNDUP(Assumptions!$C$9/30,0)),L13*Assumptions!$C$24,0),IF(8=MAX(1,ROUNDUP(Assumptions!$C$9/30,0)),M13*Assumptions!$C$24,0),IF(7=MAX(1,ROUNDUP(Assumptions!$C$9/30,0)),N13*Assumptions!$C$24,0),IF(6=MAX(1,ROUNDUP(Assumptions!$C$9/30,0)),O13*Assumptions!$C$24,0),IF(5=MAX(1,ROUNDUP(Assumptions!$C$9/30,0)),P13*Assumptions!$C$24,0),IF(4=MAX(1,ROUNDUP(Assumptions!$C$9/30,0)),Q13*Assumptions!$C$24,0),IF(3=MAX(1,ROUNDUP(Assumptions!$C$9/30,0)),R13*Assumptions!$C$24,0),IF(2=MAX(1,ROUNDUP(Assumptions!$C$9/30,0)),S13*Assumptions!$C$24,0),IF(1=MAX(1,ROUNDUP(Assumptions!$C$9/30,0)),T13*Assumptions!$C$24,0),IF(0=MAX(1,ROUNDUP(Assumptions!$C$9/30,0)),U13*Assumptions!$C$24,0))</x:f>
        <x:v>6.876054953403102</x:v>
      </x:c>
      <x:c r="V18" s="7" t="n">
        <x:f aca="0">SUM(IF(19=MAX(1,ROUNDUP(Assumptions!$C$9/30,0)),C13*Assumptions!$C$24,0),IF(18=MAX(1,ROUNDUP(Assumptions!$C$9/30,0)),D13*Assumptions!$C$24,0),IF(17=MAX(1,ROUNDUP(Assumptions!$C$9/30,0)),E13*Assumptions!$C$24,0),IF(16=MAX(1,ROUNDUP(Assumptions!$C$9/30,0)),F13*Assumptions!$C$24,0),IF(15=MAX(1,ROUNDUP(Assumptions!$C$9/30,0)),G13*Assumptions!$C$24,0),IF(14=MAX(1,ROUNDUP(Assumptions!$C$9/30,0)),H13*Assumptions!$C$24,0),IF(13=MAX(1,ROUNDUP(Assumptions!$C$9/30,0)),I13*Assumptions!$C$24,0),IF(12=MAX(1,ROUNDUP(Assumptions!$C$9/30,0)),J13*Assumptions!$C$24,0),IF(11=MAX(1,ROUNDUP(Assumptions!$C$9/30,0)),K13*Assumptions!$C$24,0),IF(10=MAX(1,ROUNDUP(Assumptions!$C$9/30,0)),L13*Assumptions!$C$24,0),IF(9=MAX(1,ROUNDUP(Assumptions!$C$9/30,0)),M13*Assumptions!$C$24,0),IF(8=MAX(1,ROUNDUP(Assumptions!$C$9/30,0)),N13*Assumptions!$C$24,0),IF(7=MAX(1,ROUNDUP(Assumptions!$C$9/30,0)),O13*Assumptions!$C$24,0),IF(6=MAX(1,ROUNDUP(Assumptions!$C$9/30,0)),P13*Assumptions!$C$24,0),IF(5=MAX(1,ROUNDUP(Assumptions!$C$9/30,0)),Q13*Assumptions!$C$24,0),IF(4=MAX(1,ROUNDUP(Assumptions!$C$9/30,0)),R13*Assumptions!$C$24,0),IF(3=MAX(1,ROUNDUP(Assumptions!$C$9/30,0)),S13*Assumptions!$C$24,0),IF(2=MAX(1,ROUNDUP(Assumptions!$C$9/30,0)),T13*Assumptions!$C$24,0),IF(1=MAX(1,ROUNDUP(Assumptions!$C$9/30,0)),U13*Assumptions!$C$24,0),IF(0=MAX(1,ROUNDUP(Assumptions!$C$9/30,0)),V13*Assumptions!$C$24,0))</x:f>
        <x:v>7.2198577010732565</x:v>
      </x:c>
      <x:c r="W18" s="7" t="n">
        <x:f aca="0">SUM(IF(20=MAX(1,ROUNDUP(Assumptions!$C$9/30,0)),C13*Assumptions!$C$24,0),IF(19=MAX(1,ROUNDUP(Assumptions!$C$9/30,0)),D13*Assumptions!$C$24,0),IF(18=MAX(1,ROUNDUP(Assumptions!$C$9/30,0)),E13*Assumptions!$C$24,0),IF(17=MAX(1,ROUNDUP(Assumptions!$C$9/30,0)),F13*Assumptions!$C$24,0),IF(16=MAX(1,ROUNDUP(Assumptions!$C$9/30,0)),G13*Assumptions!$C$24,0),IF(15=MAX(1,ROUNDUP(Assumptions!$C$9/30,0)),H13*Assumptions!$C$24,0),IF(14=MAX(1,ROUNDUP(Assumptions!$C$9/30,0)),I13*Assumptions!$C$24,0),IF(13=MAX(1,ROUNDUP(Assumptions!$C$9/30,0)),J13*Assumptions!$C$24,0),IF(12=MAX(1,ROUNDUP(Assumptions!$C$9/30,0)),K13*Assumptions!$C$24,0),IF(11=MAX(1,ROUNDUP(Assumptions!$C$9/30,0)),L13*Assumptions!$C$24,0),IF(10=MAX(1,ROUNDUP(Assumptions!$C$9/30,0)),M13*Assumptions!$C$24,0),IF(9=MAX(1,ROUNDUP(Assumptions!$C$9/30,0)),N13*Assumptions!$C$24,0),IF(8=MAX(1,ROUNDUP(Assumptions!$C$9/30,0)),O13*Assumptions!$C$24,0),IF(7=MAX(1,ROUNDUP(Assumptions!$C$9/30,0)),P13*Assumptions!$C$24,0),IF(6=MAX(1,ROUNDUP(Assumptions!$C$9/30,0)),Q13*Assumptions!$C$24,0),IF(5=MAX(1,ROUNDUP(Assumptions!$C$9/30,0)),R13*Assumptions!$C$24,0),IF(4=MAX(1,ROUNDUP(Assumptions!$C$9/30,0)),S13*Assumptions!$C$24,0),IF(3=MAX(1,ROUNDUP(Assumptions!$C$9/30,0)),T13*Assumptions!$C$24,0),IF(2=MAX(1,ROUNDUP(Assumptions!$C$9/30,0)),U13*Assumptions!$C$24,0),IF(1=MAX(1,ROUNDUP(Assumptions!$C$9/30,0)),V13*Assumptions!$C$24,0),IF(0=MAX(1,ROUNDUP(Assumptions!$C$9/30,0)),W13*Assumptions!$C$24,0))</x:f>
        <x:v>7.580850586126921</x:v>
      </x:c>
      <x:c r="X18" s="7" t="n">
        <x:f aca="0">SUM(IF(21=MAX(1,ROUNDUP(Assumptions!$C$9/30,0)),C13*Assumptions!$C$24,0),IF(20=MAX(1,ROUNDUP(Assumptions!$C$9/30,0)),D13*Assumptions!$C$24,0),IF(19=MAX(1,ROUNDUP(Assumptions!$C$9/30,0)),E13*Assumptions!$C$24,0),IF(18=MAX(1,ROUNDUP(Assumptions!$C$9/30,0)),F13*Assumptions!$C$24,0),IF(17=MAX(1,ROUNDUP(Assumptions!$C$9/30,0)),G13*Assumptions!$C$24,0),IF(16=MAX(1,ROUNDUP(Assumptions!$C$9/30,0)),H13*Assumptions!$C$24,0),IF(15=MAX(1,ROUNDUP(Assumptions!$C$9/30,0)),I13*Assumptions!$C$24,0),IF(14=MAX(1,ROUNDUP(Assumptions!$C$9/30,0)),J13*Assumptions!$C$24,0),IF(13=MAX(1,ROUNDUP(Assumptions!$C$9/30,0)),K13*Assumptions!$C$24,0),IF(12=MAX(1,ROUNDUP(Assumptions!$C$9/30,0)),L13*Assumptions!$C$24,0),IF(11=MAX(1,ROUNDUP(Assumptions!$C$9/30,0)),M13*Assumptions!$C$24,0),IF(10=MAX(1,ROUNDUP(Assumptions!$C$9/30,0)),N13*Assumptions!$C$24,0),IF(9=MAX(1,ROUNDUP(Assumptions!$C$9/30,0)),O13*Assumptions!$C$24,0),IF(8=MAX(1,ROUNDUP(Assumptions!$C$9/30,0)),P13*Assumptions!$C$24,0),IF(7=MAX(1,ROUNDUP(Assumptions!$C$9/30,0)),Q13*Assumptions!$C$24,0),IF(6=MAX(1,ROUNDUP(Assumptions!$C$9/30,0)),R13*Assumptions!$C$24,0),IF(5=MAX(1,ROUNDUP(Assumptions!$C$9/30,0)),S13*Assumptions!$C$24,0),IF(4=MAX(1,ROUNDUP(Assumptions!$C$9/30,0)),T13*Assumptions!$C$24,0),IF(3=MAX(1,ROUNDUP(Assumptions!$C$9/30,0)),U13*Assumptions!$C$24,0),IF(2=MAX(1,ROUNDUP(Assumptions!$C$9/30,0)),V13*Assumptions!$C$24,0),IF(1=MAX(1,ROUNDUP(Assumptions!$C$9/30,0)),W13*Assumptions!$C$24,0),IF(0=MAX(1,ROUNDUP(Assumptions!$C$9/30,0)),X13*Assumptions!$C$24,0))</x:f>
        <x:v>7.959893115433266</x:v>
      </x:c>
      <x:c r="Y18" s="7" t="n">
        <x:f aca="0">SUM(IF(22=MAX(1,ROUNDUP(Assumptions!$C$9/30,0)),C13*Assumptions!$C$24,0),IF(21=MAX(1,ROUNDUP(Assumptions!$C$9/30,0)),D13*Assumptions!$C$24,0),IF(20=MAX(1,ROUNDUP(Assumptions!$C$9/30,0)),E13*Assumptions!$C$24,0),IF(19=MAX(1,ROUNDUP(Assumptions!$C$9/30,0)),F13*Assumptions!$C$24,0),IF(18=MAX(1,ROUNDUP(Assumptions!$C$9/30,0)),G13*Assumptions!$C$24,0),IF(17=MAX(1,ROUNDUP(Assumptions!$C$9/30,0)),H13*Assumptions!$C$24,0),IF(16=MAX(1,ROUNDUP(Assumptions!$C$9/30,0)),I13*Assumptions!$C$24,0),IF(15=MAX(1,ROUNDUP(Assumptions!$C$9/30,0)),J13*Assumptions!$C$24,0),IF(14=MAX(1,ROUNDUP(Assumptions!$C$9/30,0)),K13*Assumptions!$C$24,0),IF(13=MAX(1,ROUNDUP(Assumptions!$C$9/30,0)),L13*Assumptions!$C$24,0),IF(12=MAX(1,ROUNDUP(Assumptions!$C$9/30,0)),M13*Assumptions!$C$24,0),IF(11=MAX(1,ROUNDUP(Assumptions!$C$9/30,0)),N13*Assumptions!$C$24,0),IF(10=MAX(1,ROUNDUP(Assumptions!$C$9/30,0)),O13*Assumptions!$C$24,0),IF(9=MAX(1,ROUNDUP(Assumptions!$C$9/30,0)),P13*Assumptions!$C$24,0),IF(8=MAX(1,ROUNDUP(Assumptions!$C$9/30,0)),Q13*Assumptions!$C$24,0),IF(7=MAX(1,ROUNDUP(Assumptions!$C$9/30,0)),R13*Assumptions!$C$24,0),IF(6=MAX(1,ROUNDUP(Assumptions!$C$9/30,0)),S13*Assumptions!$C$24,0),IF(5=MAX(1,ROUNDUP(Assumptions!$C$9/30,0)),T13*Assumptions!$C$24,0),IF(4=MAX(1,ROUNDUP(Assumptions!$C$9/30,0)),U13*Assumptions!$C$24,0),IF(3=MAX(1,ROUNDUP(Assumptions!$C$9/30,0)),V13*Assumptions!$C$24,0),IF(2=MAX(1,ROUNDUP(Assumptions!$C$9/30,0)),W13*Assumptions!$C$24,0),IF(1=MAX(1,ROUNDUP(Assumptions!$C$9/30,0)),X13*Assumptions!$C$24,0),IF(0=MAX(1,ROUNDUP(Assumptions!$C$9/30,0)),Y13*Assumptions!$C$24,0))</x:f>
        <x:v>8.35788777120493</x:v>
      </x:c>
      <x:c r="Z18" s="7" t="n">
        <x:f aca="0">SUM(IF(23=MAX(1,ROUNDUP(Assumptions!$C$9/30,0)),C13*Assumptions!$C$24,0),IF(22=MAX(1,ROUNDUP(Assumptions!$C$9/30,0)),D13*Assumptions!$C$24,0),IF(21=MAX(1,ROUNDUP(Assumptions!$C$9/30,0)),E13*Assumptions!$C$24,0),IF(20=MAX(1,ROUNDUP(Assumptions!$C$9/30,0)),F13*Assumptions!$C$24,0),IF(19=MAX(1,ROUNDUP(Assumptions!$C$9/30,0)),G13*Assumptions!$C$24,0),IF(18=MAX(1,ROUNDUP(Assumptions!$C$9/30,0)),H13*Assumptions!$C$24,0),IF(17=MAX(1,ROUNDUP(Assumptions!$C$9/30,0)),I13*Assumptions!$C$24,0),IF(16=MAX(1,ROUNDUP(Assumptions!$C$9/30,0)),J13*Assumptions!$C$24,0),IF(15=MAX(1,ROUNDUP(Assumptions!$C$9/30,0)),K13*Assumptions!$C$24,0),IF(14=MAX(1,ROUNDUP(Assumptions!$C$9/30,0)),L13*Assumptions!$C$24,0),IF(13=MAX(1,ROUNDUP(Assumptions!$C$9/30,0)),M13*Assumptions!$C$24,0),IF(12=MAX(1,ROUNDUP(Assumptions!$C$9/30,0)),N13*Assumptions!$C$24,0),IF(11=MAX(1,ROUNDUP(Assumptions!$C$9/30,0)),O13*Assumptions!$C$24,0),IF(10=MAX(1,ROUNDUP(Assumptions!$C$9/30,0)),P13*Assumptions!$C$24,0),IF(9=MAX(1,ROUNDUP(Assumptions!$C$9/30,0)),Q13*Assumptions!$C$24,0),IF(8=MAX(1,ROUNDUP(Assumptions!$C$9/30,0)),R13*Assumptions!$C$24,0),IF(7=MAX(1,ROUNDUP(Assumptions!$C$9/30,0)),S13*Assumptions!$C$24,0),IF(6=MAX(1,ROUNDUP(Assumptions!$C$9/30,0)),T13*Assumptions!$C$24,0),IF(5=MAX(1,ROUNDUP(Assumptions!$C$9/30,0)),U13*Assumptions!$C$24,0),IF(4=MAX(1,ROUNDUP(Assumptions!$C$9/30,0)),V13*Assumptions!$C$24,0),IF(3=MAX(1,ROUNDUP(Assumptions!$C$9/30,0)),W13*Assumptions!$C$24,0),IF(2=MAX(1,ROUNDUP(Assumptions!$C$9/30,0)),X13*Assumptions!$C$24,0),IF(1=MAX(1,ROUNDUP(Assumptions!$C$9/30,0)),Y13*Assumptions!$C$24,0),IF(0=MAX(1,ROUNDUP(Assumptions!$C$9/30,0)),Z13*Assumptions!$C$24,0))</x:f>
        <x:v>8.775782159765177</x:v>
      </x:c>
    </x:row>
    <x:row r="19" ht="16.5" hidden="0" customHeight="1">
      <x:c r="A19" s="1" t="s">
        <x:v>304</x:v>
      </x:c>
      <x:c r="B19" s="1" t="s">
        <x:v>103</x:v>
      </x:c>
      <x:c r="C19" s="7" t="n">
        <x:f aca="0">SUM(IF(0=MAX(1,ROUNDUP(Assumptions!$C$9/30,0)),C12*Assumptions!$C$25,0))</x:f>
        <x:v>0</x:v>
      </x:c>
      <x:c r="D19" s="7" t="n">
        <x:f aca="0">SUM(IF(1=MAX(1,ROUNDUP(Assumptions!$C$9/30,0)),C12*Assumptions!$C$25,0),IF(0=MAX(1,ROUNDUP(Assumptions!$C$9/30,0)),D12*Assumptions!$C$25,0))</x:f>
        <x:v>0.22049999999999997</x:v>
      </x:c>
      <x:c r="E19" s="7" t="n">
        <x:f aca="0">SUM(IF(2=MAX(1,ROUNDUP(Assumptions!$C$9/30,0)),C12*Assumptions!$C$25,0),IF(1=MAX(1,ROUNDUP(Assumptions!$C$9/30,0)),D12*Assumptions!$C$25,0),IF(0=MAX(1,ROUNDUP(Assumptions!$C$9/30,0)),E12*Assumptions!$C$25,0))</x:f>
        <x:v>0.018522</x:v>
      </x:c>
      <x:c r="F19" s="7" t="n">
        <x:f aca="0">SUM(IF(3=MAX(1,ROUNDUP(Assumptions!$C$9/30,0)),C12*Assumptions!$C$25,0),IF(2=MAX(1,ROUNDUP(Assumptions!$C$9/30,0)),D12*Assumptions!$C$25,0),IF(1=MAX(1,ROUNDUP(Assumptions!$C$9/30,0)),E12*Assumptions!$C$25,0),IF(0=MAX(1,ROUNDUP(Assumptions!$C$9/30,0)),F12*Assumptions!$C$25,0))</x:f>
        <x:v>0</x:v>
      </x:c>
      <x:c r="G19" s="7" t="n">
        <x:f aca="0">SUM(IF(4=MAX(1,ROUNDUP(Assumptions!$C$9/30,0)),C12*Assumptions!$C$25,0),IF(3=MAX(1,ROUNDUP(Assumptions!$C$9/30,0)),D12*Assumptions!$C$25,0),IF(2=MAX(1,ROUNDUP(Assumptions!$C$9/30,0)),E12*Assumptions!$C$25,0),IF(1=MAX(1,ROUNDUP(Assumptions!$C$9/30,0)),F12*Assumptions!$C$25,0),IF(0=MAX(1,ROUNDUP(Assumptions!$C$9/30,0)),G12*Assumptions!$C$25,0))</x:f>
        <x:v>0</x:v>
      </x:c>
      <x:c r="H19" s="7" t="n">
        <x:f aca="0">SUM(IF(5=MAX(1,ROUNDUP(Assumptions!$C$9/30,0)),C12*Assumptions!$C$25,0),IF(4=MAX(1,ROUNDUP(Assumptions!$C$9/30,0)),D12*Assumptions!$C$25,0),IF(3=MAX(1,ROUNDUP(Assumptions!$C$9/30,0)),E12*Assumptions!$C$25,0),IF(2=MAX(1,ROUNDUP(Assumptions!$C$9/30,0)),F12*Assumptions!$C$25,0),IF(1=MAX(1,ROUNDUP(Assumptions!$C$9/30,0)),G12*Assumptions!$C$25,0),IF(0=MAX(1,ROUNDUP(Assumptions!$C$9/30,0)),H12*Assumptions!$C$25,0))</x:f>
        <x:v>0</x:v>
      </x:c>
      <x:c r="I19" s="7" t="n">
        <x:f aca="0">SUM(IF(6=MAX(1,ROUNDUP(Assumptions!$C$9/30,0)),C12*Assumptions!$C$25,0),IF(5=MAX(1,ROUNDUP(Assumptions!$C$9/30,0)),D12*Assumptions!$C$25,0),IF(4=MAX(1,ROUNDUP(Assumptions!$C$9/30,0)),E12*Assumptions!$C$25,0),IF(3=MAX(1,ROUNDUP(Assumptions!$C$9/30,0)),F12*Assumptions!$C$25,0),IF(2=MAX(1,ROUNDUP(Assumptions!$C$9/30,0)),G12*Assumptions!$C$25,0),IF(1=MAX(1,ROUNDUP(Assumptions!$C$9/30,0)),H12*Assumptions!$C$25,0),IF(0=MAX(1,ROUNDUP(Assumptions!$C$9/30,0)),I12*Assumptions!$C$25,0))</x:f>
        <x:v>0</x:v>
      </x:c>
      <x:c r="J19" s="7" t="n">
        <x:f aca="0">SUM(IF(7=MAX(1,ROUNDUP(Assumptions!$C$9/30,0)),C12*Assumptions!$C$25,0),IF(6=MAX(1,ROUNDUP(Assumptions!$C$9/30,0)),D12*Assumptions!$C$25,0),IF(5=MAX(1,ROUNDUP(Assumptions!$C$9/30,0)),E12*Assumptions!$C$25,0),IF(4=MAX(1,ROUNDUP(Assumptions!$C$9/30,0)),F12*Assumptions!$C$25,0),IF(3=MAX(1,ROUNDUP(Assumptions!$C$9/30,0)),G12*Assumptions!$C$25,0),IF(2=MAX(1,ROUNDUP(Assumptions!$C$9/30,0)),H12*Assumptions!$C$25,0),IF(1=MAX(1,ROUNDUP(Assumptions!$C$9/30,0)),I12*Assumptions!$C$25,0),IF(0=MAX(1,ROUNDUP(Assumptions!$C$9/30,0)),J12*Assumptions!$C$25,0))</x:f>
        <x:v>0</x:v>
      </x:c>
      <x:c r="K19" s="7" t="n">
        <x:f aca="0">SUM(IF(8=MAX(1,ROUNDUP(Assumptions!$C$9/30,0)),C12*Assumptions!$C$25,0),IF(7=MAX(1,ROUNDUP(Assumptions!$C$9/30,0)),D12*Assumptions!$C$25,0),IF(6=MAX(1,ROUNDUP(Assumptions!$C$9/30,0)),E12*Assumptions!$C$25,0),IF(5=MAX(1,ROUNDUP(Assumptions!$C$9/30,0)),F12*Assumptions!$C$25,0),IF(4=MAX(1,ROUNDUP(Assumptions!$C$9/30,0)),G12*Assumptions!$C$25,0),IF(3=MAX(1,ROUNDUP(Assumptions!$C$9/30,0)),H12*Assumptions!$C$25,0),IF(2=MAX(1,ROUNDUP(Assumptions!$C$9/30,0)),I12*Assumptions!$C$25,0),IF(1=MAX(1,ROUNDUP(Assumptions!$C$9/30,0)),J12*Assumptions!$C$25,0),IF(0=MAX(1,ROUNDUP(Assumptions!$C$9/30,0)),K12*Assumptions!$C$25,0))</x:f>
        <x:v>0</x:v>
      </x:c>
      <x:c r="L19" s="7" t="n">
        <x:f aca="0">SUM(IF(9=MAX(1,ROUNDUP(Assumptions!$C$9/30,0)),C12*Assumptions!$C$25,0),IF(8=MAX(1,ROUNDUP(Assumptions!$C$9/30,0)),D12*Assumptions!$C$25,0),IF(7=MAX(1,ROUNDUP(Assumptions!$C$9/30,0)),E12*Assumptions!$C$25,0),IF(6=MAX(1,ROUNDUP(Assumptions!$C$9/30,0)),F12*Assumptions!$C$25,0),IF(5=MAX(1,ROUNDUP(Assumptions!$C$9/30,0)),G12*Assumptions!$C$25,0),IF(4=MAX(1,ROUNDUP(Assumptions!$C$9/30,0)),H12*Assumptions!$C$25,0),IF(3=MAX(1,ROUNDUP(Assumptions!$C$9/30,0)),I12*Assumptions!$C$25,0),IF(2=MAX(1,ROUNDUP(Assumptions!$C$9/30,0)),J12*Assumptions!$C$25,0),IF(1=MAX(1,ROUNDUP(Assumptions!$C$9/30,0)),K12*Assumptions!$C$25,0),IF(0=MAX(1,ROUNDUP(Assumptions!$C$9/30,0)),L12*Assumptions!$C$25,0))</x:f>
        <x:v>0</x:v>
      </x:c>
      <x:c r="M19" s="7" t="n">
        <x:f aca="0">SUM(IF(10=MAX(1,ROUNDUP(Assumptions!$C$9/30,0)),C12*Assumptions!$C$25,0),IF(9=MAX(1,ROUNDUP(Assumptions!$C$9/30,0)),D12*Assumptions!$C$25,0),IF(8=MAX(1,ROUNDUP(Assumptions!$C$9/30,0)),E12*Assumptions!$C$25,0),IF(7=MAX(1,ROUNDUP(Assumptions!$C$9/30,0)),F12*Assumptions!$C$25,0),IF(6=MAX(1,ROUNDUP(Assumptions!$C$9/30,0)),G12*Assumptions!$C$25,0),IF(5=MAX(1,ROUNDUP(Assumptions!$C$9/30,0)),H12*Assumptions!$C$25,0),IF(4=MAX(1,ROUNDUP(Assumptions!$C$9/30,0)),I12*Assumptions!$C$25,0),IF(3=MAX(1,ROUNDUP(Assumptions!$C$9/30,0)),J12*Assumptions!$C$25,0),IF(2=MAX(1,ROUNDUP(Assumptions!$C$9/30,0)),K12*Assumptions!$C$25,0),IF(1=MAX(1,ROUNDUP(Assumptions!$C$9/30,0)),L12*Assumptions!$C$25,0),IF(0=MAX(1,ROUNDUP(Assumptions!$C$9/30,0)),M12*Assumptions!$C$25,0))</x:f>
        <x:v>0</x:v>
      </x:c>
      <x:c r="N19" s="7" t="n">
        <x:f aca="0">SUM(IF(11=MAX(1,ROUNDUP(Assumptions!$C$9/30,0)),C12*Assumptions!$C$25,0),IF(10=MAX(1,ROUNDUP(Assumptions!$C$9/30,0)),D12*Assumptions!$C$25,0),IF(9=MAX(1,ROUNDUP(Assumptions!$C$9/30,0)),E12*Assumptions!$C$25,0),IF(8=MAX(1,ROUNDUP(Assumptions!$C$9/30,0)),F12*Assumptions!$C$25,0),IF(7=MAX(1,ROUNDUP(Assumptions!$C$9/30,0)),G12*Assumptions!$C$25,0),IF(6=MAX(1,ROUNDUP(Assumptions!$C$9/30,0)),H12*Assumptions!$C$25,0),IF(5=MAX(1,ROUNDUP(Assumptions!$C$9/30,0)),I12*Assumptions!$C$25,0),IF(4=MAX(1,ROUNDUP(Assumptions!$C$9/30,0)),J12*Assumptions!$C$25,0),IF(3=MAX(1,ROUNDUP(Assumptions!$C$9/30,0)),K12*Assumptions!$C$25,0),IF(2=MAX(1,ROUNDUP(Assumptions!$C$9/30,0)),L12*Assumptions!$C$25,0),IF(1=MAX(1,ROUNDUP(Assumptions!$C$9/30,0)),M12*Assumptions!$C$25,0),IF(0=MAX(1,ROUNDUP(Assumptions!$C$9/30,0)),N12*Assumptions!$C$25,0))</x:f>
        <x:v>0</x:v>
      </x:c>
      <x:c r="O19" s="7" t="n">
        <x:f aca="0">SUM(IF(12=MAX(1,ROUNDUP(Assumptions!$C$9/30,0)),C12*Assumptions!$C$25,0),IF(11=MAX(1,ROUNDUP(Assumptions!$C$9/30,0)),D12*Assumptions!$C$25,0),IF(10=MAX(1,ROUNDUP(Assumptions!$C$9/30,0)),E12*Assumptions!$C$25,0),IF(9=MAX(1,ROUNDUP(Assumptions!$C$9/30,0)),F12*Assumptions!$C$25,0),IF(8=MAX(1,ROUNDUP(Assumptions!$C$9/30,0)),G12*Assumptions!$C$25,0),IF(7=MAX(1,ROUNDUP(Assumptions!$C$9/30,0)),H12*Assumptions!$C$25,0),IF(6=MAX(1,ROUNDUP(Assumptions!$C$9/30,0)),I12*Assumptions!$C$25,0),IF(5=MAX(1,ROUNDUP(Assumptions!$C$9/30,0)),J12*Assumptions!$C$25,0),IF(4=MAX(1,ROUNDUP(Assumptions!$C$9/30,0)),K12*Assumptions!$C$25,0),IF(3=MAX(1,ROUNDUP(Assumptions!$C$9/30,0)),L12*Assumptions!$C$25,0),IF(2=MAX(1,ROUNDUP(Assumptions!$C$9/30,0)),M12*Assumptions!$C$25,0),IF(1=MAX(1,ROUNDUP(Assumptions!$C$9/30,0)),N12*Assumptions!$C$25,0),IF(0=MAX(1,ROUNDUP(Assumptions!$C$9/30,0)),O12*Assumptions!$C$25,0))</x:f>
        <x:v>0</x:v>
      </x:c>
      <x:c r="P19" s="7" t="n">
        <x:f aca="0">SUM(IF(13=MAX(1,ROUNDUP(Assumptions!$C$9/30,0)),C12*Assumptions!$C$25,0),IF(12=MAX(1,ROUNDUP(Assumptions!$C$9/30,0)),D12*Assumptions!$C$25,0),IF(11=MAX(1,ROUNDUP(Assumptions!$C$9/30,0)),E12*Assumptions!$C$25,0),IF(10=MAX(1,ROUNDUP(Assumptions!$C$9/30,0)),F12*Assumptions!$C$25,0),IF(9=MAX(1,ROUNDUP(Assumptions!$C$9/30,0)),G12*Assumptions!$C$25,0),IF(8=MAX(1,ROUNDUP(Assumptions!$C$9/30,0)),H12*Assumptions!$C$25,0),IF(7=MAX(1,ROUNDUP(Assumptions!$C$9/30,0)),I12*Assumptions!$C$25,0),IF(6=MAX(1,ROUNDUP(Assumptions!$C$9/30,0)),J12*Assumptions!$C$25,0),IF(5=MAX(1,ROUNDUP(Assumptions!$C$9/30,0)),K12*Assumptions!$C$25,0),IF(4=MAX(1,ROUNDUP(Assumptions!$C$9/30,0)),L12*Assumptions!$C$25,0),IF(3=MAX(1,ROUNDUP(Assumptions!$C$9/30,0)),M12*Assumptions!$C$25,0),IF(2=MAX(1,ROUNDUP(Assumptions!$C$9/30,0)),N12*Assumptions!$C$25,0),IF(1=MAX(1,ROUNDUP(Assumptions!$C$9/30,0)),O12*Assumptions!$C$25,0),IF(0=MAX(1,ROUNDUP(Assumptions!$C$9/30,0)),P12*Assumptions!$C$25,0))</x:f>
        <x:v>0</x:v>
      </x:c>
      <x:c r="Q19" s="7" t="n">
        <x:f aca="0">SUM(IF(14=MAX(1,ROUNDUP(Assumptions!$C$9/30,0)),C12*Assumptions!$C$25,0),IF(13=MAX(1,ROUNDUP(Assumptions!$C$9/30,0)),D12*Assumptions!$C$25,0),IF(12=MAX(1,ROUNDUP(Assumptions!$C$9/30,0)),E12*Assumptions!$C$25,0),IF(11=MAX(1,ROUNDUP(Assumptions!$C$9/30,0)),F12*Assumptions!$C$25,0),IF(10=MAX(1,ROUNDUP(Assumptions!$C$9/30,0)),G12*Assumptions!$C$25,0),IF(9=MAX(1,ROUNDUP(Assumptions!$C$9/30,0)),H12*Assumptions!$C$25,0),IF(8=MAX(1,ROUNDUP(Assumptions!$C$9/30,0)),I12*Assumptions!$C$25,0),IF(7=MAX(1,ROUNDUP(Assumptions!$C$9/30,0)),J12*Assumptions!$C$25,0),IF(6=MAX(1,ROUNDUP(Assumptions!$C$9/30,0)),K12*Assumptions!$C$25,0),IF(5=MAX(1,ROUNDUP(Assumptions!$C$9/30,0)),L12*Assumptions!$C$25,0),IF(4=MAX(1,ROUNDUP(Assumptions!$C$9/30,0)),M12*Assumptions!$C$25,0),IF(3=MAX(1,ROUNDUP(Assumptions!$C$9/30,0)),N12*Assumptions!$C$25,0),IF(2=MAX(1,ROUNDUP(Assumptions!$C$9/30,0)),O12*Assumptions!$C$25,0),IF(1=MAX(1,ROUNDUP(Assumptions!$C$9/30,0)),P12*Assumptions!$C$25,0),IF(0=MAX(1,ROUNDUP(Assumptions!$C$9/30,0)),Q12*Assumptions!$C$25,0))</x:f>
        <x:v>0</x:v>
      </x:c>
      <x:c r="R19" s="7" t="n">
        <x:f aca="0">SUM(IF(15=MAX(1,ROUNDUP(Assumptions!$C$9/30,0)),C12*Assumptions!$C$25,0),IF(14=MAX(1,ROUNDUP(Assumptions!$C$9/30,0)),D12*Assumptions!$C$25,0),IF(13=MAX(1,ROUNDUP(Assumptions!$C$9/30,0)),E12*Assumptions!$C$25,0),IF(12=MAX(1,ROUNDUP(Assumptions!$C$9/30,0)),F12*Assumptions!$C$25,0),IF(11=MAX(1,ROUNDUP(Assumptions!$C$9/30,0)),G12*Assumptions!$C$25,0),IF(10=MAX(1,ROUNDUP(Assumptions!$C$9/30,0)),H12*Assumptions!$C$25,0),IF(9=MAX(1,ROUNDUP(Assumptions!$C$9/30,0)),I12*Assumptions!$C$25,0),IF(8=MAX(1,ROUNDUP(Assumptions!$C$9/30,0)),J12*Assumptions!$C$25,0),IF(7=MAX(1,ROUNDUP(Assumptions!$C$9/30,0)),K12*Assumptions!$C$25,0),IF(6=MAX(1,ROUNDUP(Assumptions!$C$9/30,0)),L12*Assumptions!$C$25,0),IF(5=MAX(1,ROUNDUP(Assumptions!$C$9/30,0)),M12*Assumptions!$C$25,0),IF(4=MAX(1,ROUNDUP(Assumptions!$C$9/30,0)),N12*Assumptions!$C$25,0),IF(3=MAX(1,ROUNDUP(Assumptions!$C$9/30,0)),O12*Assumptions!$C$25,0),IF(2=MAX(1,ROUNDUP(Assumptions!$C$9/30,0)),P12*Assumptions!$C$25,0),IF(1=MAX(1,ROUNDUP(Assumptions!$C$9/30,0)),Q12*Assumptions!$C$25,0),IF(0=MAX(1,ROUNDUP(Assumptions!$C$9/30,0)),R12*Assumptions!$C$25,0))</x:f>
        <x:v>0</x:v>
      </x:c>
      <x:c r="S19" s="7" t="n">
        <x:f aca="0">SUM(IF(16=MAX(1,ROUNDUP(Assumptions!$C$9/30,0)),C12*Assumptions!$C$25,0),IF(15=MAX(1,ROUNDUP(Assumptions!$C$9/30,0)),D12*Assumptions!$C$25,0),IF(14=MAX(1,ROUNDUP(Assumptions!$C$9/30,0)),E12*Assumptions!$C$25,0),IF(13=MAX(1,ROUNDUP(Assumptions!$C$9/30,0)),F12*Assumptions!$C$25,0),IF(12=MAX(1,ROUNDUP(Assumptions!$C$9/30,0)),G12*Assumptions!$C$25,0),IF(11=MAX(1,ROUNDUP(Assumptions!$C$9/30,0)),H12*Assumptions!$C$25,0),IF(10=MAX(1,ROUNDUP(Assumptions!$C$9/30,0)),I12*Assumptions!$C$25,0),IF(9=MAX(1,ROUNDUP(Assumptions!$C$9/30,0)),J12*Assumptions!$C$25,0),IF(8=MAX(1,ROUNDUP(Assumptions!$C$9/30,0)),K12*Assumptions!$C$25,0),IF(7=MAX(1,ROUNDUP(Assumptions!$C$9/30,0)),L12*Assumptions!$C$25,0),IF(6=MAX(1,ROUNDUP(Assumptions!$C$9/30,0)),M12*Assumptions!$C$25,0),IF(5=MAX(1,ROUNDUP(Assumptions!$C$9/30,0)),N12*Assumptions!$C$25,0),IF(4=MAX(1,ROUNDUP(Assumptions!$C$9/30,0)),O12*Assumptions!$C$25,0),IF(3=MAX(1,ROUNDUP(Assumptions!$C$9/30,0)),P12*Assumptions!$C$25,0),IF(2=MAX(1,ROUNDUP(Assumptions!$C$9/30,0)),Q12*Assumptions!$C$25,0),IF(1=MAX(1,ROUNDUP(Assumptions!$C$9/30,0)),R12*Assumptions!$C$25,0),IF(0=MAX(1,ROUNDUP(Assumptions!$C$9/30,0)),S12*Assumptions!$C$25,0))</x:f>
        <x:v>0</x:v>
      </x:c>
      <x:c r="T19" s="7" t="n">
        <x:f aca="0">SUM(IF(17=MAX(1,ROUNDUP(Assumptions!$C$9/30,0)),C12*Assumptions!$C$25,0),IF(16=MAX(1,ROUNDUP(Assumptions!$C$9/30,0)),D12*Assumptions!$C$25,0),IF(15=MAX(1,ROUNDUP(Assumptions!$C$9/30,0)),E12*Assumptions!$C$25,0),IF(14=MAX(1,ROUNDUP(Assumptions!$C$9/30,0)),F12*Assumptions!$C$25,0),IF(13=MAX(1,ROUNDUP(Assumptions!$C$9/30,0)),G12*Assumptions!$C$25,0),IF(12=MAX(1,ROUNDUP(Assumptions!$C$9/30,0)),H12*Assumptions!$C$25,0),IF(11=MAX(1,ROUNDUP(Assumptions!$C$9/30,0)),I12*Assumptions!$C$25,0),IF(10=MAX(1,ROUNDUP(Assumptions!$C$9/30,0)),J12*Assumptions!$C$25,0),IF(9=MAX(1,ROUNDUP(Assumptions!$C$9/30,0)),K12*Assumptions!$C$25,0),IF(8=MAX(1,ROUNDUP(Assumptions!$C$9/30,0)),L12*Assumptions!$C$25,0),IF(7=MAX(1,ROUNDUP(Assumptions!$C$9/30,0)),M12*Assumptions!$C$25,0),IF(6=MAX(1,ROUNDUP(Assumptions!$C$9/30,0)),N12*Assumptions!$C$25,0),IF(5=MAX(1,ROUNDUP(Assumptions!$C$9/30,0)),O12*Assumptions!$C$25,0),IF(4=MAX(1,ROUNDUP(Assumptions!$C$9/30,0)),P12*Assumptions!$C$25,0),IF(3=MAX(1,ROUNDUP(Assumptions!$C$9/30,0)),Q12*Assumptions!$C$25,0),IF(2=MAX(1,ROUNDUP(Assumptions!$C$9/30,0)),R12*Assumptions!$C$25,0),IF(1=MAX(1,ROUNDUP(Assumptions!$C$9/30,0)),S12*Assumptions!$C$25,0),IF(0=MAX(1,ROUNDUP(Assumptions!$C$9/30,0)),T12*Assumptions!$C$25,0))</x:f>
        <x:v>0</x:v>
      </x:c>
      <x:c r="U19" s="7" t="n">
        <x:f aca="0">SUM(IF(18=MAX(1,ROUNDUP(Assumptions!$C$9/30,0)),C12*Assumptions!$C$25,0),IF(17=MAX(1,ROUNDUP(Assumptions!$C$9/30,0)),D12*Assumptions!$C$25,0),IF(16=MAX(1,ROUNDUP(Assumptions!$C$9/30,0)),E12*Assumptions!$C$25,0),IF(15=MAX(1,ROUNDUP(Assumptions!$C$9/30,0)),F12*Assumptions!$C$25,0),IF(14=MAX(1,ROUNDUP(Assumptions!$C$9/30,0)),G12*Assumptions!$C$25,0),IF(13=MAX(1,ROUNDUP(Assumptions!$C$9/30,0)),H12*Assumptions!$C$25,0),IF(12=MAX(1,ROUNDUP(Assumptions!$C$9/30,0)),I12*Assumptions!$C$25,0),IF(11=MAX(1,ROUNDUP(Assumptions!$C$9/30,0)),J12*Assumptions!$C$25,0),IF(10=MAX(1,ROUNDUP(Assumptions!$C$9/30,0)),K12*Assumptions!$C$25,0),IF(9=MAX(1,ROUNDUP(Assumptions!$C$9/30,0)),L12*Assumptions!$C$25,0),IF(8=MAX(1,ROUNDUP(Assumptions!$C$9/30,0)),M12*Assumptions!$C$25,0),IF(7=MAX(1,ROUNDUP(Assumptions!$C$9/30,0)),N12*Assumptions!$C$25,0),IF(6=MAX(1,ROUNDUP(Assumptions!$C$9/30,0)),O12*Assumptions!$C$25,0),IF(5=MAX(1,ROUNDUP(Assumptions!$C$9/30,0)),P12*Assumptions!$C$25,0),IF(4=MAX(1,ROUNDUP(Assumptions!$C$9/30,0)),Q12*Assumptions!$C$25,0),IF(3=MAX(1,ROUNDUP(Assumptions!$C$9/30,0)),R12*Assumptions!$C$25,0),IF(2=MAX(1,ROUNDUP(Assumptions!$C$9/30,0)),S12*Assumptions!$C$25,0),IF(1=MAX(1,ROUNDUP(Assumptions!$C$9/30,0)),T12*Assumptions!$C$25,0),IF(0=MAX(1,ROUNDUP(Assumptions!$C$9/30,0)),U12*Assumptions!$C$25,0))</x:f>
        <x:v>0</x:v>
      </x:c>
      <x:c r="V19" s="7" t="n">
        <x:f aca="0">SUM(IF(19=MAX(1,ROUNDUP(Assumptions!$C$9/30,0)),C12*Assumptions!$C$25,0),IF(18=MAX(1,ROUNDUP(Assumptions!$C$9/30,0)),D12*Assumptions!$C$25,0),IF(17=MAX(1,ROUNDUP(Assumptions!$C$9/30,0)),E12*Assumptions!$C$25,0),IF(16=MAX(1,ROUNDUP(Assumptions!$C$9/30,0)),F12*Assumptions!$C$25,0),IF(15=MAX(1,ROUNDUP(Assumptions!$C$9/30,0)),G12*Assumptions!$C$25,0),IF(14=MAX(1,ROUNDUP(Assumptions!$C$9/30,0)),H12*Assumptions!$C$25,0),IF(13=MAX(1,ROUNDUP(Assumptions!$C$9/30,0)),I12*Assumptions!$C$25,0),IF(12=MAX(1,ROUNDUP(Assumptions!$C$9/30,0)),J12*Assumptions!$C$25,0),IF(11=MAX(1,ROUNDUP(Assumptions!$C$9/30,0)),K12*Assumptions!$C$25,0),IF(10=MAX(1,ROUNDUP(Assumptions!$C$9/30,0)),L12*Assumptions!$C$25,0),IF(9=MAX(1,ROUNDUP(Assumptions!$C$9/30,0)),M12*Assumptions!$C$25,0),IF(8=MAX(1,ROUNDUP(Assumptions!$C$9/30,0)),N12*Assumptions!$C$25,0),IF(7=MAX(1,ROUNDUP(Assumptions!$C$9/30,0)),O12*Assumptions!$C$25,0),IF(6=MAX(1,ROUNDUP(Assumptions!$C$9/30,0)),P12*Assumptions!$C$25,0),IF(5=MAX(1,ROUNDUP(Assumptions!$C$9/30,0)),Q12*Assumptions!$C$25,0),IF(4=MAX(1,ROUNDUP(Assumptions!$C$9/30,0)),R12*Assumptions!$C$25,0),IF(3=MAX(1,ROUNDUP(Assumptions!$C$9/30,0)),S12*Assumptions!$C$25,0),IF(2=MAX(1,ROUNDUP(Assumptions!$C$9/30,0)),T12*Assumptions!$C$25,0),IF(1=MAX(1,ROUNDUP(Assumptions!$C$9/30,0)),U12*Assumptions!$C$25,0),IF(0=MAX(1,ROUNDUP(Assumptions!$C$9/30,0)),V12*Assumptions!$C$25,0))</x:f>
        <x:v>0</x:v>
      </x:c>
      <x:c r="W19" s="7" t="n">
        <x:f aca="0">SUM(IF(20=MAX(1,ROUNDUP(Assumptions!$C$9/30,0)),C12*Assumptions!$C$25,0),IF(19=MAX(1,ROUNDUP(Assumptions!$C$9/30,0)),D12*Assumptions!$C$25,0),IF(18=MAX(1,ROUNDUP(Assumptions!$C$9/30,0)),E12*Assumptions!$C$25,0),IF(17=MAX(1,ROUNDUP(Assumptions!$C$9/30,0)),F12*Assumptions!$C$25,0),IF(16=MAX(1,ROUNDUP(Assumptions!$C$9/30,0)),G12*Assumptions!$C$25,0),IF(15=MAX(1,ROUNDUP(Assumptions!$C$9/30,0)),H12*Assumptions!$C$25,0),IF(14=MAX(1,ROUNDUP(Assumptions!$C$9/30,0)),I12*Assumptions!$C$25,0),IF(13=MAX(1,ROUNDUP(Assumptions!$C$9/30,0)),J12*Assumptions!$C$25,0),IF(12=MAX(1,ROUNDUP(Assumptions!$C$9/30,0)),K12*Assumptions!$C$25,0),IF(11=MAX(1,ROUNDUP(Assumptions!$C$9/30,0)),L12*Assumptions!$C$25,0),IF(10=MAX(1,ROUNDUP(Assumptions!$C$9/30,0)),M12*Assumptions!$C$25,0),IF(9=MAX(1,ROUNDUP(Assumptions!$C$9/30,0)),N12*Assumptions!$C$25,0),IF(8=MAX(1,ROUNDUP(Assumptions!$C$9/30,0)),O12*Assumptions!$C$25,0),IF(7=MAX(1,ROUNDUP(Assumptions!$C$9/30,0)),P12*Assumptions!$C$25,0),IF(6=MAX(1,ROUNDUP(Assumptions!$C$9/30,0)),Q12*Assumptions!$C$25,0),IF(5=MAX(1,ROUNDUP(Assumptions!$C$9/30,0)),R12*Assumptions!$C$25,0),IF(4=MAX(1,ROUNDUP(Assumptions!$C$9/30,0)),S12*Assumptions!$C$25,0),IF(3=MAX(1,ROUNDUP(Assumptions!$C$9/30,0)),T12*Assumptions!$C$25,0),IF(2=MAX(1,ROUNDUP(Assumptions!$C$9/30,0)),U12*Assumptions!$C$25,0),IF(1=MAX(1,ROUNDUP(Assumptions!$C$9/30,0)),V12*Assumptions!$C$25,0),IF(0=MAX(1,ROUNDUP(Assumptions!$C$9/30,0)),W12*Assumptions!$C$25,0))</x:f>
        <x:v>0</x:v>
      </x:c>
      <x:c r="X19" s="7" t="n">
        <x:f aca="0">SUM(IF(21=MAX(1,ROUNDUP(Assumptions!$C$9/30,0)),C12*Assumptions!$C$25,0),IF(20=MAX(1,ROUNDUP(Assumptions!$C$9/30,0)),D12*Assumptions!$C$25,0),IF(19=MAX(1,ROUNDUP(Assumptions!$C$9/30,0)),E12*Assumptions!$C$25,0),IF(18=MAX(1,ROUNDUP(Assumptions!$C$9/30,0)),F12*Assumptions!$C$25,0),IF(17=MAX(1,ROUNDUP(Assumptions!$C$9/30,0)),G12*Assumptions!$C$25,0),IF(16=MAX(1,ROUNDUP(Assumptions!$C$9/30,0)),H12*Assumptions!$C$25,0),IF(15=MAX(1,ROUNDUP(Assumptions!$C$9/30,0)),I12*Assumptions!$C$25,0),IF(14=MAX(1,ROUNDUP(Assumptions!$C$9/30,0)),J12*Assumptions!$C$25,0),IF(13=MAX(1,ROUNDUP(Assumptions!$C$9/30,0)),K12*Assumptions!$C$25,0),IF(12=MAX(1,ROUNDUP(Assumptions!$C$9/30,0)),L12*Assumptions!$C$25,0),IF(11=MAX(1,ROUNDUP(Assumptions!$C$9/30,0)),M12*Assumptions!$C$25,0),IF(10=MAX(1,ROUNDUP(Assumptions!$C$9/30,0)),N12*Assumptions!$C$25,0),IF(9=MAX(1,ROUNDUP(Assumptions!$C$9/30,0)),O12*Assumptions!$C$25,0),IF(8=MAX(1,ROUNDUP(Assumptions!$C$9/30,0)),P12*Assumptions!$C$25,0),IF(7=MAX(1,ROUNDUP(Assumptions!$C$9/30,0)),Q12*Assumptions!$C$25,0),IF(6=MAX(1,ROUNDUP(Assumptions!$C$9/30,0)),R12*Assumptions!$C$25,0),IF(5=MAX(1,ROUNDUP(Assumptions!$C$9/30,0)),S12*Assumptions!$C$25,0),IF(4=MAX(1,ROUNDUP(Assumptions!$C$9/30,0)),T12*Assumptions!$C$25,0),IF(3=MAX(1,ROUNDUP(Assumptions!$C$9/30,0)),U12*Assumptions!$C$25,0),IF(2=MAX(1,ROUNDUP(Assumptions!$C$9/30,0)),V12*Assumptions!$C$25,0),IF(1=MAX(1,ROUNDUP(Assumptions!$C$9/30,0)),W12*Assumptions!$C$25,0),IF(0=MAX(1,ROUNDUP(Assumptions!$C$9/30,0)),X12*Assumptions!$C$25,0))</x:f>
        <x:v>0</x:v>
      </x:c>
      <x:c r="Y19" s="7" t="n">
        <x:f aca="0">SUM(IF(22=MAX(1,ROUNDUP(Assumptions!$C$9/30,0)),C12*Assumptions!$C$25,0),IF(21=MAX(1,ROUNDUP(Assumptions!$C$9/30,0)),D12*Assumptions!$C$25,0),IF(20=MAX(1,ROUNDUP(Assumptions!$C$9/30,0)),E12*Assumptions!$C$25,0),IF(19=MAX(1,ROUNDUP(Assumptions!$C$9/30,0)),F12*Assumptions!$C$25,0),IF(18=MAX(1,ROUNDUP(Assumptions!$C$9/30,0)),G12*Assumptions!$C$25,0),IF(17=MAX(1,ROUNDUP(Assumptions!$C$9/30,0)),H12*Assumptions!$C$25,0),IF(16=MAX(1,ROUNDUP(Assumptions!$C$9/30,0)),I12*Assumptions!$C$25,0),IF(15=MAX(1,ROUNDUP(Assumptions!$C$9/30,0)),J12*Assumptions!$C$25,0),IF(14=MAX(1,ROUNDUP(Assumptions!$C$9/30,0)),K12*Assumptions!$C$25,0),IF(13=MAX(1,ROUNDUP(Assumptions!$C$9/30,0)),L12*Assumptions!$C$25,0),IF(12=MAX(1,ROUNDUP(Assumptions!$C$9/30,0)),M12*Assumptions!$C$25,0),IF(11=MAX(1,ROUNDUP(Assumptions!$C$9/30,0)),N12*Assumptions!$C$25,0),IF(10=MAX(1,ROUNDUP(Assumptions!$C$9/30,0)),O12*Assumptions!$C$25,0),IF(9=MAX(1,ROUNDUP(Assumptions!$C$9/30,0)),P12*Assumptions!$C$25,0),IF(8=MAX(1,ROUNDUP(Assumptions!$C$9/30,0)),Q12*Assumptions!$C$25,0),IF(7=MAX(1,ROUNDUP(Assumptions!$C$9/30,0)),R12*Assumptions!$C$25,0),IF(6=MAX(1,ROUNDUP(Assumptions!$C$9/30,0)),S12*Assumptions!$C$25,0),IF(5=MAX(1,ROUNDUP(Assumptions!$C$9/30,0)),T12*Assumptions!$C$25,0),IF(4=MAX(1,ROUNDUP(Assumptions!$C$9/30,0)),U12*Assumptions!$C$25,0),IF(3=MAX(1,ROUNDUP(Assumptions!$C$9/30,0)),V12*Assumptions!$C$25,0),IF(2=MAX(1,ROUNDUP(Assumptions!$C$9/30,0)),W12*Assumptions!$C$25,0),IF(1=MAX(1,ROUNDUP(Assumptions!$C$9/30,0)),X12*Assumptions!$C$25,0),IF(0=MAX(1,ROUNDUP(Assumptions!$C$9/30,0)),Y12*Assumptions!$C$25,0))</x:f>
        <x:v>0</x:v>
      </x:c>
      <x:c r="Z19" s="7" t="n">
        <x:f aca="0">SUM(IF(23=MAX(1,ROUNDUP(Assumptions!$C$9/30,0)),C12*Assumptions!$C$25,0),IF(22=MAX(1,ROUNDUP(Assumptions!$C$9/30,0)),D12*Assumptions!$C$25,0),IF(21=MAX(1,ROUNDUP(Assumptions!$C$9/30,0)),E12*Assumptions!$C$25,0),IF(20=MAX(1,ROUNDUP(Assumptions!$C$9/30,0)),F12*Assumptions!$C$25,0),IF(19=MAX(1,ROUNDUP(Assumptions!$C$9/30,0)),G12*Assumptions!$C$25,0),IF(18=MAX(1,ROUNDUP(Assumptions!$C$9/30,0)),H12*Assumptions!$C$25,0),IF(17=MAX(1,ROUNDUP(Assumptions!$C$9/30,0)),I12*Assumptions!$C$25,0),IF(16=MAX(1,ROUNDUP(Assumptions!$C$9/30,0)),J12*Assumptions!$C$25,0),IF(15=MAX(1,ROUNDUP(Assumptions!$C$9/30,0)),K12*Assumptions!$C$25,0),IF(14=MAX(1,ROUNDUP(Assumptions!$C$9/30,0)),L12*Assumptions!$C$25,0),IF(13=MAX(1,ROUNDUP(Assumptions!$C$9/30,0)),M12*Assumptions!$C$25,0),IF(12=MAX(1,ROUNDUP(Assumptions!$C$9/30,0)),N12*Assumptions!$C$25,0),IF(11=MAX(1,ROUNDUP(Assumptions!$C$9/30,0)),O12*Assumptions!$C$25,0),IF(10=MAX(1,ROUNDUP(Assumptions!$C$9/30,0)),P12*Assumptions!$C$25,0),IF(9=MAX(1,ROUNDUP(Assumptions!$C$9/30,0)),Q12*Assumptions!$C$25,0),IF(8=MAX(1,ROUNDUP(Assumptions!$C$9/30,0)),R12*Assumptions!$C$25,0),IF(7=MAX(1,ROUNDUP(Assumptions!$C$9/30,0)),S12*Assumptions!$C$25,0),IF(6=MAX(1,ROUNDUP(Assumptions!$C$9/30,0)),T12*Assumptions!$C$25,0),IF(5=MAX(1,ROUNDUP(Assumptions!$C$9/30,0)),U12*Assumptions!$C$25,0),IF(4=MAX(1,ROUNDUP(Assumptions!$C$9/30,0)),V12*Assumptions!$C$25,0),IF(3=MAX(1,ROUNDUP(Assumptions!$C$9/30,0)),W12*Assumptions!$C$25,0),IF(2=MAX(1,ROUNDUP(Assumptions!$C$9/30,0)),X12*Assumptions!$C$25,0),IF(1=MAX(1,ROUNDUP(Assumptions!$C$9/30,0)),Y12*Assumptions!$C$25,0),IF(0=MAX(1,ROUNDUP(Assumptions!$C$9/30,0)),Z12*Assumptions!$C$25,0))</x:f>
        <x:v>0</x:v>
      </x:c>
    </x:row>
    <x:row r="20" ht="16.5" hidden="0" customHeight="1">
      <x:c r="A20" s="1" t="s">
        <x:v>305</x:v>
      </x:c>
      <x:c r="B20" s="1" t="s">
        <x:v>103</x:v>
      </x:c>
      <x:c r="C20" s="7" t="n">
        <x:f aca="0">IF(0=Assumptions!$C$12,$C$8*Assumptions!$C$26,0)</x:f>
        <x:v>0</x:v>
      </x:c>
      <x:c r="D20" s="7" t="n">
        <x:f aca="0">IF(1=Assumptions!$C$12,$C$8*Assumptions!$C$26,0)</x:f>
        <x:v>4.2</x:v>
      </x:c>
      <x:c r="E20" s="7" t="n">
        <x:f aca="0">IF(2=Assumptions!$C$12,$C$8*Assumptions!$C$26,0)</x:f>
        <x:v>0</x:v>
      </x:c>
      <x:c r="F20" s="7" t="n">
        <x:f aca="0">IF(3=Assumptions!$C$12,$C$8*Assumptions!$C$26,0)</x:f>
        <x:v>0</x:v>
      </x:c>
      <x:c r="G20" s="7" t="n">
        <x:f aca="0">IF(4=Assumptions!$C$12,$C$8*Assumptions!$C$26,0)</x:f>
        <x:v>0</x:v>
      </x:c>
      <x:c r="H20" s="7" t="n">
        <x:f aca="0">IF(5=Assumptions!$C$12,$C$8*Assumptions!$C$26,0)</x:f>
        <x:v>0</x:v>
      </x:c>
      <x:c r="I20" s="7" t="n">
        <x:f aca="0">IF(6=Assumptions!$C$12,$C$8*Assumptions!$C$26,0)</x:f>
        <x:v>0</x:v>
      </x:c>
      <x:c r="J20" s="7" t="n">
        <x:f aca="0">IF(7=Assumptions!$C$12,$C$8*Assumptions!$C$26,0)</x:f>
        <x:v>0</x:v>
      </x:c>
      <x:c r="K20" s="7" t="n">
        <x:f aca="0">IF(8=Assumptions!$C$12,$C$8*Assumptions!$C$26,0)</x:f>
        <x:v>0</x:v>
      </x:c>
      <x:c r="L20" s="7" t="n">
        <x:f aca="0">IF(9=Assumptions!$C$12,$C$8*Assumptions!$C$26,0)</x:f>
        <x:v>0</x:v>
      </x:c>
      <x:c r="M20" s="7" t="n">
        <x:f aca="0">IF(10=Assumptions!$C$12,$C$8*Assumptions!$C$26,0)</x:f>
        <x:v>0</x:v>
      </x:c>
      <x:c r="N20" s="7" t="n">
        <x:f aca="0">IF(11=Assumptions!$C$12,$C$8*Assumptions!$C$26,0)</x:f>
        <x:v>0</x:v>
      </x:c>
      <x:c r="O20" s="7" t="n">
        <x:f aca="0">IF(12=Assumptions!$C$12,$C$8*Assumptions!$C$26,0)</x:f>
        <x:v>0</x:v>
      </x:c>
      <x:c r="P20" s="7" t="n">
        <x:f aca="0">IF(13=Assumptions!$C$12,$C$8*Assumptions!$C$26,0)</x:f>
        <x:v>0</x:v>
      </x:c>
      <x:c r="Q20" s="7" t="n">
        <x:f aca="0">IF(14=Assumptions!$C$12,$C$8*Assumptions!$C$26,0)</x:f>
        <x:v>0</x:v>
      </x:c>
      <x:c r="R20" s="7" t="n">
        <x:f aca="0">IF(15=Assumptions!$C$12,$C$8*Assumptions!$C$26,0)</x:f>
        <x:v>0</x:v>
      </x:c>
      <x:c r="S20" s="7" t="n">
        <x:f aca="0">IF(16=Assumptions!$C$12,$C$8*Assumptions!$C$26,0)</x:f>
        <x:v>0</x:v>
      </x:c>
      <x:c r="T20" s="7" t="n">
        <x:f aca="0">IF(17=Assumptions!$C$12,$C$8*Assumptions!$C$26,0)</x:f>
        <x:v>0</x:v>
      </x:c>
      <x:c r="U20" s="7" t="n">
        <x:f aca="0">IF(18=Assumptions!$C$12,$C$8*Assumptions!$C$26,0)</x:f>
        <x:v>0</x:v>
      </x:c>
      <x:c r="V20" s="7" t="n">
        <x:f aca="0">IF(19=Assumptions!$C$12,$C$8*Assumptions!$C$26,0)</x:f>
        <x:v>0</x:v>
      </x:c>
      <x:c r="W20" s="7" t="n">
        <x:f aca="0">IF(20=Assumptions!$C$12,$C$8*Assumptions!$C$26,0)</x:f>
        <x:v>0</x:v>
      </x:c>
      <x:c r="X20" s="7" t="n">
        <x:f aca="0">IF(21=Assumptions!$C$12,$C$8*Assumptions!$C$26,0)</x:f>
        <x:v>0</x:v>
      </x:c>
      <x:c r="Y20" s="7" t="n">
        <x:f aca="0">IF(22=Assumptions!$C$12,$C$8*Assumptions!$C$26,0)</x:f>
        <x:v>0</x:v>
      </x:c>
      <x:c r="Z20" s="7" t="n">
        <x:f aca="0">IF(23=Assumptions!$C$12,$C$8*Assumptions!$C$26,0)</x:f>
        <x:v>0</x:v>
      </x:c>
    </x:row>
    <x:row r="21" ht="16.5" hidden="0" customHeight="1">
      <x:c r="A21" s="10" t="s">
        <x:v>306</x:v>
      </x:c>
      <x:c r="B21" s="10" t="s">
        <x:v>103</x:v>
      </x:c>
      <x:c r="C21" s="32" t="n">
        <x:f aca="0">SUM(C18:C20)</x:f>
        <x:v>0</x:v>
      </x:c>
      <x:c r="D21" s="32" t="n">
        <x:f aca="0">SUM(D18:D20)</x:f>
        <x:v>7.4205000000000005</x:v>
      </x:c>
      <x:c r="E21" s="32" t="n">
        <x:f aca="0">SUM(E18:E20)</x:f>
        <x:v>3.168522</x:v>
      </x:c>
      <x:c r="F21" s="32" t="n">
        <x:f aca="0">SUM(F18:F20)</x:f>
        <x:v>3.3075</x:v>
      </x:c>
      <x:c r="G21" s="32" t="n">
        <x:f aca="0">SUM(G18:G20)</x:f>
        <x:v>3.4728750000000006</x:v>
      </x:c>
      <x:c r="H21" s="32" t="n">
        <x:f aca="0">SUM(H18:H20)</x:f>
        <x:v>3.6465187500000007</x:v>
      </x:c>
      <x:c r="I21" s="32" t="n">
        <x:f aca="0">SUM(I18:I20)</x:f>
        <x:v>3.828844687500001</x:v>
      </x:c>
      <x:c r="J21" s="32" t="n">
        <x:f aca="0">SUM(J18:J20)</x:f>
        <x:v>4.020286921875001</x:v>
      </x:c>
      <x:c r="K21" s="32" t="n">
        <x:f aca="0">SUM(K18:K20)</x:f>
        <x:v>4.221301267968751</x:v>
      </x:c>
      <x:c r="L21" s="32" t="n">
        <x:f aca="0">SUM(L18:L20)</x:f>
        <x:v>4.432366331367189</x:v>
      </x:c>
      <x:c r="M21" s="32" t="n">
        <x:f aca="0">SUM(M18:M20)</x:f>
        <x:v>4.653984647935549</x:v>
      </x:c>
      <x:c r="N21" s="32" t="n">
        <x:f aca="0">SUM(N18:N20)</x:f>
        <x:v>4.886683880332326</x:v>
      </x:c>
      <x:c r="O21" s="32" t="n">
        <x:f aca="0">SUM(O18:O20)</x:f>
        <x:v>5.131018074348943</x:v>
      </x:c>
      <x:c r="P21" s="32" t="n">
        <x:f aca="0">SUM(P18:P20)</x:f>
        <x:v>5.38756897806639</x:v>
      </x:c>
      <x:c r="Q21" s="32" t="n">
        <x:f aca="0">SUM(Q18:Q20)</x:f>
        <x:v>5.65694742696971</x:v>
      </x:c>
      <x:c r="R21" s="32" t="n">
        <x:f aca="0">SUM(R18:R20)</x:f>
        <x:v>5.939794798318196</x:v>
      </x:c>
      <x:c r="S21" s="32" t="n">
        <x:f aca="0">SUM(S18:S20)</x:f>
        <x:v>6.236784538234106</x:v>
      </x:c>
      <x:c r="T21" s="32" t="n">
        <x:f aca="0">SUM(T18:T20)</x:f>
        <x:v>6.548623765145811</x:v>
      </x:c>
      <x:c r="U21" s="32" t="n">
        <x:f aca="0">SUM(U18:U20)</x:f>
        <x:v>6.876054953403102</x:v>
      </x:c>
      <x:c r="V21" s="32" t="n">
        <x:f aca="0">SUM(V18:V20)</x:f>
        <x:v>7.2198577010732565</x:v>
      </x:c>
      <x:c r="W21" s="32" t="n">
        <x:f aca="0">SUM(W18:W20)</x:f>
        <x:v>7.580850586126921</x:v>
      </x:c>
      <x:c r="X21" s="32" t="n">
        <x:f aca="0">SUM(X18:X20)</x:f>
        <x:v>7.959893115433266</x:v>
      </x:c>
      <x:c r="Y21" s="32" t="n">
        <x:f aca="0">SUM(Y18:Y20)</x:f>
        <x:v>8.35788777120493</x:v>
      </x:c>
      <x:c r="Z21" s="32" t="n">
        <x:f aca="0">SUM(Z18:Z20)</x:f>
        <x:v>8.775782159765177</x:v>
      </x:c>
    </x:row>
    <x:row r="22" ht="16.5" hidden="0" customHeight="1">
      <x:c r="A22" s="11" t="s">
        <x:v>307</x:v>
      </x:c>
      <x:c r="B22" s="1" t="s">
        <x:v>103</x:v>
      </x:c>
      <x:c r="C22" s="7" t="n">
        <x:f aca="0">0</x:f>
        <x:v>0</x:v>
      </x:c>
      <x:c r="D22" s="7" t="n">
        <x:f aca="0">C31</x:f>
        <x:v>0</x:v>
      </x:c>
      <x:c r="E22" s="7" t="n">
        <x:f aca="0">D31</x:f>
        <x:v>2.9682000000000004</x:v>
      </x:c>
      <x:c r="F22" s="7" t="n">
        <x:f aca="0">E31</x:f>
        <x:v>4.045644000000001</x:v>
      </x:c>
      <x:c r="G22" s="7" t="n">
        <x:f aca="0">F31</x:f>
        <x:v>5.1097227840000015</x:v>
      </x:c>
      <x:c r="H22" s="7" t="n">
        <x:f aca="0">G31</x:f>
        <x:v>6.171850525824002</x:v>
      </x:c>
      <x:c r="I22" s="7" t="n">
        <x:f aca="0">H31</x:f>
        <x:v>7.235459592171266</x:v>
      </x:c>
      <x:c r="J22" s="7" t="n">
        <x:f aca="0">I31</x:f>
        <x:v>8.303928053272305</x:v>
      </x:c>
      <x:c r="K22" s="7" t="n">
        <x:f aca="0">J31</x:f>
        <x:v>9.380591426612877</x:v>
      </x:c>
      <x:c r="L22" s="7" t="n">
        <x:f aca="0">K31</x:f>
        <x:v>10.468754082497153</x:v>
      </x:c>
      <x:c r="M22" s="7" t="n">
        <x:f aca="0">L31</x:f>
        <x:v>11.57170035376421</x:v>
      </x:c>
      <x:c r="N22" s="7" t="n">
        <x:f aca="0">M31</x:f>
        <x:v>12.692705390297522</x:v>
      </x:c>
      <x:c r="O22" s="7" t="n">
        <x:f aca="0">N31</x:f>
        <x:v>13.835045797451412</x:v>
      </x:c>
      <x:c r="P22" s="7" t="n">
        <x:f aca="0">O31</x:f>
        <x:v>15.0020100961541</x:v>
      </x:c>
      <x:c r="Q22" s="7" t="n">
        <x:f aca="0">P31</x:f>
        <x:v>16.196909041226792</x:v>
      </x:c>
      <x:c r="R22" s="7" t="n">
        <x:f aca="0">Q31</x:f>
        <x:v>17.423085833376163</x:v>
      </x:c>
      <x:c r="S22" s="7" t="n">
        <x:f aca="0">R31</x:f>
        <x:v>18.683926259367368</x:v>
      </x:c>
      <x:c r="T22" s="7" t="n">
        <x:f aca="0">S31</x:f>
        <x:v>19.9828687940615</x:v>
      </x:c>
      <x:c r="U22" s="7" t="n">
        <x:f aca="0">T31</x:f>
        <x:v>21.32341469729989</x:v>
      </x:c>
      <x:c r="V22" s="7" t="n">
        <x:f aca="0">U31</x:f>
        <x:v>22.70913813803394</x:v>
      </x:c>
      <x:c r="W22" s="7" t="n">
        <x:f aca="0">V31</x:f>
        <x:v>24.14369637762907</x:v>
      </x:c>
      <x:c r="X22" s="7" t="n">
        <x:f aca="0">W31</x:f>
        <x:v>25.630840043911576</x:v>
      </x:c>
      <x:c r="Y22" s="7" t="n">
        <x:f aca="0">X31</x:f>
        <x:v>27.17442352727454</x:v>
      </x:c>
      <x:c r="Z22" s="7" t="n">
        <x:f aca="0">Y31</x:f>
        <x:v>28.778415530010943</x:v>
      </x:c>
    </x:row>
    <x:row r="23" ht="16.5" hidden="0" customHeight="1">
      <x:c r="A23" s="1" t="s">
        <x:v>308</x:v>
      </x:c>
      <x:c r="B23" s="1" t="s">
        <x:v>103</x:v>
      </x:c>
      <x:c r="C23" s="7" t="n">
        <x:f aca="0">0</x:f>
        <x:v>0</x:v>
      </x:c>
      <x:c r="D23" s="7" t="n">
        <x:f aca="0">C32</x:f>
        <x:v>0</x:v>
      </x:c>
      <x:c r="E23" s="7" t="n">
        <x:f aca="0">D32</x:f>
        <x:v>3.3392250000000003</x:v>
      </x:c>
      <x:c r="F23" s="7" t="n">
        <x:f aca="0">E32</x:f>
        <x:v>4.551349500000001</x:v>
      </x:c>
      <x:c r="G23" s="7" t="n">
        <x:f aca="0">F32</x:f>
        <x:v>5.748438132</x:v>
      </x:c>
      <x:c r="H23" s="7" t="n">
        <x:f aca="0">G32</x:f>
        <x:v>6.943331841552</x:v>
      </x:c>
      <x:c r="I23" s="7" t="n">
        <x:f aca="0">H32</x:f>
        <x:v>8.139892041192672</x:v>
      </x:c>
      <x:c r="J23" s="7" t="n">
        <x:f aca="0">I32</x:f>
        <x:v>9.341919059931342</x:v>
      </x:c>
      <x:c r="K23" s="7" t="n">
        <x:f aca="0">J32</x:f>
        <x:v>10.553165354939487</x:v>
      </x:c>
      <x:c r="L23" s="7" t="n">
        <x:f aca="0">K32</x:f>
        <x:v>11.777348342809297</x:v>
      </x:c>
      <x:c r="M23" s="7" t="n">
        <x:f aca="0">L32</x:f>
        <x:v>13.018162897984737</x:v>
      </x:c>
      <x:c r="N23" s="7" t="n">
        <x:f aca="0">M32</x:f>
        <x:v>14.27929356408471</x:v>
      </x:c>
      <x:c r="O23" s="7" t="n">
        <x:f aca="0">N32</x:f>
        <x:v>15.564426522132834</x:v>
      </x:c>
      <x:c r="P23" s="7" t="n">
        <x:f aca="0">O32</x:f>
        <x:v>16.877261358173357</x:v>
      </x:c>
      <x:c r="Q23" s="7" t="n">
        <x:f aca="0">P32</x:f>
        <x:v>18.221522671380136</x:v>
      </x:c>
      <x:c r="R23" s="7" t="n">
        <x:f aca="0">Q32</x:f>
        <x:v>19.600971562548178</x:v>
      </x:c>
      <x:c r="S23" s="7" t="n">
        <x:f aca="0">R32</x:f>
        <x:v>21.01941704178828</x:v>
      </x:c>
      <x:c r="T23" s="7" t="n">
        <x:f aca="0">S32</x:f>
        <x:v>22.480727393319178</x:v>
      </x:c>
      <x:c r="U23" s="7" t="n">
        <x:f aca="0">T32</x:f>
        <x:v>23.988841534462367</x:v>
      </x:c>
      <x:c r="V23" s="7" t="n">
        <x:f aca="0">U32</x:f>
        <x:v>25.547780405288172</x:v>
      </x:c>
      <x:c r="W23" s="7" t="n">
        <x:f aca="0">V32</x:f>
        <x:v>27.161658424832694</x:v>
      </x:c>
      <x:c r="X23" s="7" t="n">
        <x:f aca="0">W32</x:f>
        <x:v>28.834695049400516</x:v>
      </x:c>
      <x:c r="Y23" s="7" t="n">
        <x:f aca="0">X32</x:f>
        <x:v>30.571226468183852</x:v>
      </x:c>
      <x:c r="Z23" s="7" t="n">
        <x:f aca="0">Y32</x:f>
        <x:v>32.375717471262305</x:v>
      </x:c>
    </x:row>
    <x:row r="24" ht="16.5" hidden="0" customHeight="1">
      <x:c r="A24" s="11" t="s">
        <x:v>309</x:v>
      </x:c>
      <x:c r="B24" s="1" t="s">
        <x:v>103</x:v>
      </x:c>
      <x:c r="C24" s="7" t="n">
        <x:f aca="0">0</x:f>
        <x:v>0</x:v>
      </x:c>
      <x:c r="D24" s="7" t="n">
        <x:f aca="0">C33</x:f>
        <x:v>0</x:v>
      </x:c>
      <x:c r="E24" s="7" t="n">
        <x:f aca="0">D33</x:f>
        <x:v>1.113075</x:v>
      </x:c>
      <x:c r="F24" s="7" t="n">
        <x:f aca="0">E33</x:f>
        <x:v>1.5171164999999998</x:v>
      </x:c>
      <x:c r="G24" s="7" t="n">
        <x:f aca="0">F33</x:f>
        <x:v>1.9161460439999998</x:v>
      </x:c>
      <x:c r="H24" s="7" t="n">
        <x:f aca="0">G33</x:f>
        <x:v>2.314443947184</x:v>
      </x:c>
      <x:c r="I24" s="7" t="n">
        <x:f aca="0">H33</x:f>
        <x:v>2.7132973470642243</x:v>
      </x:c>
      <x:c r="J24" s="7" t="n">
        <x:f aca="0">I33</x:f>
        <x:v>3.113973019977114</x:v>
      </x:c>
      <x:c r="K24" s="7" t="n">
        <x:f aca="0">J33</x:f>
        <x:v>3.5177217849798286</x:v>
      </x:c>
      <x:c r="L24" s="7" t="n">
        <x:f aca="0">K33</x:f>
        <x:v>3.9257827809364323</x:v>
      </x:c>
      <x:c r="M24" s="7" t="n">
        <x:f aca="0">L33</x:f>
        <x:v>4.339387632661579</x:v>
      </x:c>
      <x:c r="N24" s="7" t="n">
        <x:f aca="0">M33</x:f>
        <x:v>4.75976452136157</x:v>
      </x:c>
      <x:c r="O24" s="7" t="n">
        <x:f aca="0">N33</x:f>
        <x:v>5.188142174044279</x:v>
      </x:c>
      <x:c r="P24" s="7" t="n">
        <x:f aca="0">O33</x:f>
        <x:v>5.6257537860577855</x:v>
      </x:c>
      <x:c r="Q24" s="7" t="n">
        <x:f aca="0">P33</x:f>
        <x:v>6.073840890460046</x:v>
      </x:c>
      <x:c r="R24" s="7" t="n">
        <x:f aca="0">Q33</x:f>
        <x:v>6.533657187516059</x:v>
      </x:c>
      <x:c r="S24" s="7" t="n">
        <x:f aca="0">R33</x:f>
        <x:v>7.006472347262761</x:v>
      </x:c>
      <x:c r="T24" s="7" t="n">
        <x:f aca="0">S33</x:f>
        <x:v>7.493575797773061</x:v>
      </x:c>
      <x:c r="U24" s="7" t="n">
        <x:f aca="0">T33</x:f>
        <x:v>7.996280511487456</x:v>
      </x:c>
      <x:c r="V24" s="7" t="n">
        <x:f aca="0">U33</x:f>
        <x:v>8.515926801762724</x:v>
      </x:c>
      <x:c r="W24" s="7" t="n">
        <x:f aca="0">V33</x:f>
        <x:v>9.0538861416109</x:v>
      </x:c>
      <x:c r="X24" s="7" t="n">
        <x:f aca="0">W33</x:f>
        <x:v>9.61156501646684</x:v>
      </x:c>
      <x:c r="Y24" s="7" t="n">
        <x:f aca="0">X33</x:f>
        <x:v>10.190408822727951</x:v>
      </x:c>
      <x:c r="Z24" s="7" t="n">
        <x:f aca="0">Y33</x:f>
        <x:v>10.791905823754101</x:v>
      </x:c>
    </x:row>
    <x:row r="25" ht="16.5" hidden="0" customHeight="1">
      <x:c r="A25" s="11" t="s">
        <x:v>310</x:v>
      </x:c>
      <x:c r="B25" s="1" t="s">
        <x:v>103</x:v>
      </x:c>
      <x:c r="C25" s="7" t="n">
        <x:f aca="0">C22*Assumptions!$C$28</x:f>
        <x:v>0</x:v>
      </x:c>
      <x:c r="D25" s="7" t="n">
        <x:f aca="0">D22*Assumptions!$C$28</x:f>
        <x:v>0</x:v>
      </x:c>
      <x:c r="E25" s="7" t="n">
        <x:f aca="0">E22*Assumptions!$C$28</x:f>
        <x:v>0.18996480000000002</x:v>
      </x:c>
      <x:c r="F25" s="7" t="n">
        <x:f aca="0">F22*Assumptions!$C$28</x:f>
        <x:v>0.25892121600000007</x:v>
      </x:c>
      <x:c r="G25" s="7" t="n">
        <x:f aca="0">G22*Assumptions!$C$28</x:f>
        <x:v>0.3270222581760001</x:v>
      </x:c>
      <x:c r="H25" s="7" t="n">
        <x:f aca="0">H22*Assumptions!$C$28</x:f>
        <x:v>0.3949984336527361</x:v>
      </x:c>
      <x:c r="I25" s="7" t="n">
        <x:f aca="0">I22*Assumptions!$C$28</x:f>
        <x:v>0.46306941389896106</x:v>
      </x:c>
      <x:c r="J25" s="7" t="n">
        <x:f aca="0">J22*Assumptions!$C$28</x:f>
        <x:v>0.5314513954094275</x:v>
      </x:c>
      <x:c r="K25" s="7" t="n">
        <x:f aca="0">K22*Assumptions!$C$28</x:f>
        <x:v>0.6003578513032242</x:v>
      </x:c>
      <x:c r="L25" s="7" t="n">
        <x:f aca="0">L22*Assumptions!$C$28</x:f>
        <x:v>0.6700002612798178</x:v>
      </x:c>
      <x:c r="M25" s="7" t="n">
        <x:f aca="0">M22*Assumptions!$C$28</x:f>
        <x:v>0.7405888226409095</x:v>
      </x:c>
      <x:c r="N25" s="7" t="n">
        <x:f aca="0">N22*Assumptions!$C$28</x:f>
        <x:v>0.8123331449790414</x:v>
      </x:c>
      <x:c r="O25" s="7" t="n">
        <x:f aca="0">O22*Assumptions!$C$28</x:f>
        <x:v>0.8854429310368904</x:v>
      </x:c>
      <x:c r="P25" s="7" t="n">
        <x:f aca="0">P22*Assumptions!$C$28</x:f>
        <x:v>0.9601286461538624</x:v>
      </x:c>
      <x:c r="Q25" s="7" t="n">
        <x:f aca="0">Q22*Assumptions!$C$28</x:f>
        <x:v>1.0366021786385147</x:v>
      </x:c>
      <x:c r="R25" s="7" t="n">
        <x:f aca="0">R22*Assumptions!$C$28</x:f>
        <x:v>1.1150774933360745</x:v>
      </x:c>
      <x:c r="S25" s="7" t="n">
        <x:f aca="0">S22*Assumptions!$C$28</x:f>
        <x:v>1.1957712805995115</x:v>
      </x:c>
      <x:c r="T25" s="7" t="n">
        <x:f aca="0">T22*Assumptions!$C$28</x:f>
        <x:v>1.2789036028199359</x:v>
      </x:c>
      <x:c r="U25" s="7" t="n">
        <x:f aca="0">U22*Assumptions!$C$28</x:f>
        <x:v>1.364698540627193</x:v>
      </x:c>
      <x:c r="V25" s="7" t="n">
        <x:f aca="0">V22*Assumptions!$C$28</x:f>
        <x:v>1.453384840834172</x:v>
      </x:c>
      <x:c r="W25" s="7" t="n">
        <x:f aca="0">W22*Assumptions!$C$28</x:f>
        <x:v>1.5451965681682605</x:v>
      </x:c>
      <x:c r="X25" s="7" t="n">
        <x:f aca="0">X22*Assumptions!$C$28</x:f>
        <x:v>1.640373762810341</x:v>
      </x:c>
      <x:c r="Y25" s="7" t="n">
        <x:f aca="0">Y22*Assumptions!$C$28</x:f>
        <x:v>1.7391631057455708</x:v>
      </x:c>
      <x:c r="Z25" s="7" t="n">
        <x:f aca="0">Z22*Assumptions!$C$28</x:f>
        <x:v>1.8418185939207004</x:v>
      </x:c>
    </x:row>
    <x:row r="26" ht="16.5" hidden="0" customHeight="1">
      <x:c r="A26" s="1" t="s">
        <x:v>311</x:v>
      </x:c>
      <x:c r="B26" s="1" t="s">
        <x:v>103</x:v>
      </x:c>
      <x:c r="C26" s="7" t="n">
        <x:f aca="0">C23*Assumptions!$C$29</x:f>
        <x:v>0</x:v>
      </x:c>
      <x:c r="D26" s="7" t="n">
        <x:f aca="0">D23*Assumptions!$C$29</x:f>
        <x:v>0</x:v>
      </x:c>
      <x:c r="E26" s="7" t="n">
        <x:f aca="0">E23*Assumptions!$C$29</x:f>
        <x:v>0.21371040000000002</x:v>
      </x:c>
      <x:c r="F26" s="7" t="n">
        <x:f aca="0">F23*Assumptions!$C$29</x:f>
        <x:v>0.291286368</x:v>
      </x:c>
      <x:c r="G26" s="7" t="n">
        <x:f aca="0">G23*Assumptions!$C$29</x:f>
        <x:v>0.367900040448</x:v>
      </x:c>
      <x:c r="H26" s="7" t="n">
        <x:f aca="0">H23*Assumptions!$C$29</x:f>
        <x:v>0.44437323785932803</x:v>
      </x:c>
      <x:c r="I26" s="7" t="n">
        <x:f aca="0">I23*Assumptions!$C$29</x:f>
        <x:v>0.520953090636331</x:v>
      </x:c>
      <x:c r="J26" s="7" t="n">
        <x:f aca="0">J23*Assumptions!$C$29</x:f>
        <x:v>0.5978828198356059</x:v>
      </x:c>
      <x:c r="K26" s="7" t="n">
        <x:f aca="0">K23*Assumptions!$C$29</x:f>
        <x:v>0.6754025827161272</x:v>
      </x:c>
      <x:c r="L26" s="7" t="n">
        <x:f aca="0">L23*Assumptions!$C$29</x:f>
        <x:v>0.7537502939397951</x:v>
      </x:c>
      <x:c r="M26" s="7" t="n">
        <x:f aca="0">M23*Assumptions!$C$29</x:f>
        <x:v>0.8331624254710233</x:v>
      </x:c>
      <x:c r="N26" s="7" t="n">
        <x:f aca="0">N23*Assumptions!$C$29</x:f>
        <x:v>0.9138747881014215</x:v>
      </x:c>
      <x:c r="O26" s="7" t="n">
        <x:f aca="0">O23*Assumptions!$C$29</x:f>
        <x:v>0.9961232974165014</x:v>
      </x:c>
      <x:c r="P26" s="7" t="n">
        <x:f aca="0">P23*Assumptions!$C$29</x:f>
        <x:v>1.0801447269230948</x:v>
      </x:c>
      <x:c r="Q26" s="7" t="n">
        <x:f aca="0">Q23*Assumptions!$C$29</x:f>
        <x:v>1.1661774509683287</x:v>
      </x:c>
      <x:c r="R26" s="7" t="n">
        <x:f aca="0">R23*Assumptions!$C$29</x:f>
        <x:v>1.2544621800030835</x:v>
      </x:c>
      <x:c r="S26" s="7" t="n">
        <x:f aca="0">S23*Assumptions!$C$29</x:f>
        <x:v>1.34524269067445</x:v>
      </x:c>
      <x:c r="T26" s="7" t="n">
        <x:f aca="0">T23*Assumptions!$C$29</x:f>
        <x:v>1.4387665531724274</x:v>
      </x:c>
      <x:c r="U26" s="7" t="n">
        <x:f aca="0">U23*Assumptions!$C$29</x:f>
        <x:v>1.5352858582055915</x:v>
      </x:c>
      <x:c r="V26" s="7" t="n">
        <x:f aca="0">V23*Assumptions!$C$29</x:f>
        <x:v>1.6350579459384431</x:v>
      </x:c>
      <x:c r="W26" s="7" t="n">
        <x:f aca="0">W23*Assumptions!$C$29</x:f>
        <x:v>1.7383461391892925</x:v>
      </x:c>
      <x:c r="X26" s="7" t="n">
        <x:f aca="0">X23*Assumptions!$C$29</x:f>
        <x:v>1.845420483161633</x:v>
      </x:c>
      <x:c r="Y26" s="7" t="n">
        <x:f aca="0">Y23*Assumptions!$C$29</x:f>
        <x:v>1.9565584939637666</x:v>
      </x:c>
      <x:c r="Z26" s="7" t="n">
        <x:f aca="0">Z23*Assumptions!$C$29</x:f>
        <x:v>2.0720459181607875</x:v>
      </x:c>
    </x:row>
    <x:row r="27" ht="16.5" hidden="0" customHeight="1">
      <x:c r="A27" s="11" t="s">
        <x:v>312</x:v>
      </x:c>
      <x:c r="B27" s="1" t="s">
        <x:v>103</x:v>
      </x:c>
      <x:c r="C27" s="7" t="n">
        <x:f aca="0">C24*Assumptions!$C$30</x:f>
        <x:v>0</x:v>
      </x:c>
      <x:c r="D27" s="7" t="n">
        <x:f aca="0">D24*Assumptions!$C$30</x:f>
        <x:v>0</x:v>
      </x:c>
      <x:c r="E27" s="7" t="n">
        <x:f aca="0">E24*Assumptions!$C$30</x:f>
        <x:v>0.0712368</x:v>
      </x:c>
      <x:c r="F27" s="7" t="n">
        <x:f aca="0">F24*Assumptions!$C$30</x:f>
        <x:v>0.09709545599999998</x:v>
      </x:c>
      <x:c r="G27" s="7" t="n">
        <x:f aca="0">G24*Assumptions!$C$30</x:f>
        <x:v>0.122633346816</x:v>
      </x:c>
      <x:c r="H27" s="7" t="n">
        <x:f aca="0">H24*Assumptions!$C$30</x:f>
        <x:v>0.148124412619776</x:v>
      </x:c>
      <x:c r="I27" s="7" t="n">
        <x:f aca="0">I24*Assumptions!$C$30</x:f>
        <x:v>0.17365103021211037</x:v>
      </x:c>
      <x:c r="J27" s="7" t="n">
        <x:f aca="0">J24*Assumptions!$C$30</x:f>
        <x:v>0.1992942732785353</x:v>
      </x:c>
      <x:c r="K27" s="7" t="n">
        <x:f aca="0">K24*Assumptions!$C$30</x:f>
        <x:v>0.22513419423870903</x:v>
      </x:c>
      <x:c r="L27" s="7" t="n">
        <x:f aca="0">L24*Assumptions!$C$30</x:f>
        <x:v>0.2512500979799317</x:v>
      </x:c>
      <x:c r="M27" s="7" t="n">
        <x:f aca="0">M24*Assumptions!$C$30</x:f>
        <x:v>0.27772080849034103</x:v>
      </x:c>
      <x:c r="N27" s="7" t="n">
        <x:f aca="0">N24*Assumptions!$C$30</x:f>
        <x:v>0.3046249293671405</x:v>
      </x:c>
      <x:c r="O27" s="7" t="n">
        <x:f aca="0">O24*Assumptions!$C$30</x:f>
        <x:v>0.33204109913883384</x:v>
      </x:c>
      <x:c r="P27" s="7" t="n">
        <x:f aca="0">P24*Assumptions!$C$30</x:f>
        <x:v>0.3600482423076983</x:v>
      </x:c>
      <x:c r="Q27" s="7" t="n">
        <x:f aca="0">Q24*Assumptions!$C$30</x:f>
        <x:v>0.3887258169894429</x:v>
      </x:c>
      <x:c r="R27" s="7" t="n">
        <x:f aca="0">R24*Assumptions!$C$30</x:f>
        <x:v>0.4181540600010278</x:v>
      </x:c>
      <x:c r="S27" s="7" t="n">
        <x:f aca="0">S24*Assumptions!$C$30</x:f>
        <x:v>0.44841423022481675</x:v>
      </x:c>
      <x:c r="T27" s="7" t="n">
        <x:f aca="0">T24*Assumptions!$C$30</x:f>
        <x:v>0.4795888510574759</x:v>
      </x:c>
      <x:c r="U27" s="7" t="n">
        <x:f aca="0">U24*Assumptions!$C$30</x:f>
        <x:v>0.5117619527351972</x:v>
      </x:c>
      <x:c r="V27" s="7" t="n">
        <x:f aca="0">V24*Assumptions!$C$30</x:f>
        <x:v>0.5450193153128143</x:v>
      </x:c>
      <x:c r="W27" s="7" t="n">
        <x:f aca="0">W24*Assumptions!$C$30</x:f>
        <x:v>0.5794487130630975</x:v>
      </x:c>
      <x:c r="X27" s="7" t="n">
        <x:f aca="0">X24*Assumptions!$C$30</x:f>
        <x:v>0.6151401610538777</x:v>
      </x:c>
      <x:c r="Y27" s="7" t="n">
        <x:f aca="0">Y24*Assumptions!$C$30</x:f>
        <x:v>0.6521861646545889</x:v>
      </x:c>
      <x:c r="Z27" s="7" t="n">
        <x:f aca="0">Z24*Assumptions!$C$30</x:f>
        <x:v>0.6906819727202624</x:v>
      </x:c>
    </x:row>
    <x:row r="28" ht="16.5" hidden="0" customHeight="1">
      <x:c r="A28" s="11" t="s">
        <x:v>313</x:v>
      </x:c>
      <x:c r="B28" s="1" t="s">
        <x:v>103</x:v>
      </x:c>
      <x:c r="C28" s="7" t="n">
        <x:f aca="0">C21*Assumptions!$C$33</x:f>
        <x:v>0</x:v>
      </x:c>
      <x:c r="D28" s="7" t="n">
        <x:f aca="0">D21*Assumptions!$C$33</x:f>
        <x:v>2.9682000000000004</x:v>
      </x:c>
      <x:c r="E28" s="7" t="n">
        <x:f aca="0">E21*Assumptions!$C$33</x:f>
        <x:v>1.2674088000000001</x:v>
      </x:c>
      <x:c r="F28" s="7" t="n">
        <x:f aca="0">F21*Assumptions!$C$33</x:f>
        <x:v>1.3230000000000002</x:v>
      </x:c>
      <x:c r="G28" s="7" t="n">
        <x:f aca="0">G21*Assumptions!$C$33</x:f>
        <x:v>1.3891500000000003</x:v>
      </x:c>
      <x:c r="H28" s="7" t="n">
        <x:f aca="0">H21*Assumptions!$C$33</x:f>
        <x:v>1.4586075000000003</x:v>
      </x:c>
      <x:c r="I28" s="7" t="n">
        <x:f aca="0">I21*Assumptions!$C$33</x:f>
        <x:v>1.5315378750000006</x:v>
      </x:c>
      <x:c r="J28" s="7" t="n">
        <x:f aca="0">J21*Assumptions!$C$33</x:f>
        <x:v>1.6081147687500004</x:v>
      </x:c>
      <x:c r="K28" s="7" t="n">
        <x:f aca="0">K21*Assumptions!$C$33</x:f>
        <x:v>1.6885205071875005</x:v>
      </x:c>
      <x:c r="L28" s="7" t="n">
        <x:f aca="0">L21*Assumptions!$C$33</x:f>
        <x:v>1.7729465325468756</x:v>
      </x:c>
      <x:c r="M28" s="7" t="n">
        <x:f aca="0">M21*Assumptions!$C$33</x:f>
        <x:v>1.8615938591742198</x:v>
      </x:c>
      <x:c r="N28" s="7" t="n">
        <x:f aca="0">N21*Assumptions!$C$33</x:f>
        <x:v>1.9546735521329304</x:v>
      </x:c>
      <x:c r="O28" s="7" t="n">
        <x:f aca="0">O21*Assumptions!$C$33</x:f>
        <x:v>2.0524072297395772</x:v>
      </x:c>
      <x:c r="P28" s="7" t="n">
        <x:f aca="0">P21*Assumptions!$C$33</x:f>
        <x:v>2.1550275912265557</x:v>
      </x:c>
      <x:c r="Q28" s="7" t="n">
        <x:f aca="0">Q21*Assumptions!$C$33</x:f>
        <x:v>2.2627789707878843</x:v>
      </x:c>
      <x:c r="R28" s="7" t="n">
        <x:f aca="0">R21*Assumptions!$C$33</x:f>
        <x:v>2.375917919327278</x:v>
      </x:c>
      <x:c r="S28" s="7" t="n">
        <x:f aca="0">S21*Assumptions!$C$33</x:f>
        <x:v>2.494713815293643</x:v>
      </x:c>
      <x:c r="T28" s="7" t="n">
        <x:f aca="0">T21*Assumptions!$C$33</x:f>
        <x:v>2.6194495060583245</x:v>
      </x:c>
      <x:c r="U28" s="7" t="n">
        <x:f aca="0">U21*Assumptions!$C$33</x:f>
        <x:v>2.750421981361241</x:v>
      </x:c>
      <x:c r="V28" s="7" t="n">
        <x:f aca="0">V21*Assumptions!$C$33</x:f>
        <x:v>2.8879430804293027</x:v>
      </x:c>
      <x:c r="W28" s="7" t="n">
        <x:f aca="0">W21*Assumptions!$C$33</x:f>
        <x:v>3.0323402344507686</x:v>
      </x:c>
      <x:c r="X28" s="7" t="n">
        <x:f aca="0">X21*Assumptions!$C$33</x:f>
        <x:v>3.1839572461733066</x:v>
      </x:c>
      <x:c r="Y28" s="7" t="n">
        <x:f aca="0">Y21*Assumptions!$C$33</x:f>
        <x:v>3.3431551084819726</x:v>
      </x:c>
      <x:c r="Z28" s="7" t="n">
        <x:f aca="0">Z21*Assumptions!$C$33</x:f>
        <x:v>3.510312863906071</x:v>
      </x:c>
    </x:row>
    <x:row r="29" ht="16.5" hidden="0" customHeight="1">
      <x:c r="A29" s="1" t="s">
        <x:v>314</x:v>
      </x:c>
      <x:c r="B29" s="1" t="s">
        <x:v>103</x:v>
      </x:c>
      <x:c r="C29" s="7" t="n">
        <x:f aca="0">C21*Assumptions!$C$34</x:f>
        <x:v>0</x:v>
      </x:c>
      <x:c r="D29" s="7" t="n">
        <x:f aca="0">D21*Assumptions!$C$34</x:f>
        <x:v>3.3392250000000003</x:v>
      </x:c>
      <x:c r="E29" s="7" t="n">
        <x:f aca="0">E21*Assumptions!$C$34</x:f>
        <x:v>1.4258349</x:v>
      </x:c>
      <x:c r="F29" s="7" t="n">
        <x:f aca="0">F21*Assumptions!$C$34</x:f>
        <x:v>1.488375</x:v>
      </x:c>
      <x:c r="G29" s="7" t="n">
        <x:f aca="0">G21*Assumptions!$C$34</x:f>
        <x:v>1.5627937500000002</x:v>
      </x:c>
      <x:c r="H29" s="7" t="n">
        <x:f aca="0">H21*Assumptions!$C$34</x:f>
        <x:v>1.6409334375000004</x:v>
      </x:c>
      <x:c r="I29" s="7" t="n">
        <x:f aca="0">I21*Assumptions!$C$34</x:f>
        <x:v>1.7229801093750006</x:v>
      </x:c>
      <x:c r="J29" s="7" t="n">
        <x:f aca="0">J21*Assumptions!$C$34</x:f>
        <x:v>1.8091291148437505</x:v>
      </x:c>
      <x:c r="K29" s="7" t="n">
        <x:f aca="0">K21*Assumptions!$C$34</x:f>
        <x:v>1.899585570585938</x:v>
      </x:c>
      <x:c r="L29" s="7" t="n">
        <x:f aca="0">L21*Assumptions!$C$34</x:f>
        <x:v>1.994564849115235</x:v>
      </x:c>
      <x:c r="M29" s="7" t="n">
        <x:f aca="0">M21*Assumptions!$C$34</x:f>
        <x:v>2.094293091570997</x:v>
      </x:c>
      <x:c r="N29" s="7" t="n">
        <x:f aca="0">N21*Assumptions!$C$34</x:f>
        <x:v>2.1990077461495465</x:v>
      </x:c>
      <x:c r="O29" s="7" t="n">
        <x:f aca="0">O21*Assumptions!$C$34</x:f>
        <x:v>2.3089581334570246</x:v>
      </x:c>
      <x:c r="P29" s="7" t="n">
        <x:f aca="0">P21*Assumptions!$C$34</x:f>
        <x:v>2.4244060401298753</x:v>
      </x:c>
      <x:c r="Q29" s="7" t="n">
        <x:f aca="0">Q21*Assumptions!$C$34</x:f>
        <x:v>2.5456263421363694</x:v>
      </x:c>
      <x:c r="R29" s="7" t="n">
        <x:f aca="0">R21*Assumptions!$C$34</x:f>
        <x:v>2.672907659243188</x:v>
      </x:c>
      <x:c r="S29" s="7" t="n">
        <x:f aca="0">S21*Assumptions!$C$34</x:f>
        <x:v>2.8065530422053477</x:v>
      </x:c>
      <x:c r="T29" s="7" t="n">
        <x:f aca="0">T21*Assumptions!$C$34</x:f>
        <x:v>2.946880694315615</x:v>
      </x:c>
      <x:c r="U29" s="7" t="n">
        <x:f aca="0">U21*Assumptions!$C$34</x:f>
        <x:v>3.0942247290313962</x:v>
      </x:c>
      <x:c r="V29" s="7" t="n">
        <x:f aca="0">V21*Assumptions!$C$34</x:f>
        <x:v>3.2489359654829655</x:v>
      </x:c>
      <x:c r="W29" s="7" t="n">
        <x:f aca="0">W21*Assumptions!$C$34</x:f>
        <x:v>3.4113827637571146</x:v>
      </x:c>
      <x:c r="X29" s="7" t="n">
        <x:f aca="0">X21*Assumptions!$C$34</x:f>
        <x:v>3.5819519019449695</x:v>
      </x:c>
      <x:c r="Y29" s="7" t="n">
        <x:f aca="0">Y21*Assumptions!$C$34</x:f>
        <x:v>3.761049497042219</x:v>
      </x:c>
      <x:c r="Z29" s="7" t="n">
        <x:f aca="0">Z21*Assumptions!$C$34</x:f>
        <x:v>3.9491019718943297</x:v>
      </x:c>
    </x:row>
    <x:row r="30" ht="16.5" hidden="0" customHeight="1">
      <x:c r="A30" s="11" t="s">
        <x:v>315</x:v>
      </x:c>
      <x:c r="B30" s="1" t="s">
        <x:v>103</x:v>
      </x:c>
      <x:c r="C30" s="7" t="n">
        <x:f aca="0">C21*Assumptions!$C$35</x:f>
        <x:v>0</x:v>
      </x:c>
      <x:c r="D30" s="7" t="n">
        <x:f aca="0">D21*Assumptions!$C$35</x:f>
        <x:v>1.113075</x:v>
      </x:c>
      <x:c r="E30" s="7" t="n">
        <x:f aca="0">E21*Assumptions!$C$35</x:f>
        <x:v>0.47527829999999993</x:v>
      </x:c>
      <x:c r="F30" s="7" t="n">
        <x:f aca="0">F21*Assumptions!$C$35</x:f>
        <x:v>0.496125</x:v>
      </x:c>
      <x:c r="G30" s="7" t="n">
        <x:f aca="0">G21*Assumptions!$C$35</x:f>
        <x:v>0.5209312500000001</x:v>
      </x:c>
      <x:c r="H30" s="7" t="n">
        <x:f aca="0">H21*Assumptions!$C$35</x:f>
        <x:v>0.5469778125000001</x:v>
      </x:c>
      <x:c r="I30" s="7" t="n">
        <x:f aca="0">I21*Assumptions!$C$35</x:f>
        <x:v>0.5743267031250001</x:v>
      </x:c>
      <x:c r="J30" s="7" t="n">
        <x:f aca="0">J21*Assumptions!$C$35</x:f>
        <x:v>0.60304303828125</x:v>
      </x:c>
      <x:c r="K30" s="7" t="n">
        <x:f aca="0">K21*Assumptions!$C$35</x:f>
        <x:v>0.6331951901953126</x:v>
      </x:c>
      <x:c r="L30" s="7" t="n">
        <x:f aca="0">L21*Assumptions!$C$35</x:f>
        <x:v>0.6648549497050783</x:v>
      </x:c>
      <x:c r="M30" s="7" t="n">
        <x:f aca="0">M21*Assumptions!$C$35</x:f>
        <x:v>0.6980976971903323</x:v>
      </x:c>
      <x:c r="N30" s="7" t="n">
        <x:f aca="0">N21*Assumptions!$C$35</x:f>
        <x:v>0.7330025820498488</x:v>
      </x:c>
      <x:c r="O30" s="7" t="n">
        <x:f aca="0">O21*Assumptions!$C$35</x:f>
        <x:v>0.7696527111523415</x:v>
      </x:c>
      <x:c r="P30" s="7" t="n">
        <x:f aca="0">P21*Assumptions!$C$35</x:f>
        <x:v>0.8081353467099585</x:v>
      </x:c>
      <x:c r="Q30" s="7" t="n">
        <x:f aca="0">Q21*Assumptions!$C$35</x:f>
        <x:v>0.8485421140454564</x:v>
      </x:c>
      <x:c r="R30" s="7" t="n">
        <x:f aca="0">R21*Assumptions!$C$35</x:f>
        <x:v>0.8909692197477294</x:v>
      </x:c>
      <x:c r="S30" s="7" t="n">
        <x:f aca="0">S21*Assumptions!$C$35</x:f>
        <x:v>0.9355176807351159</x:v>
      </x:c>
      <x:c r="T30" s="7" t="n">
        <x:f aca="0">T21*Assumptions!$C$35</x:f>
        <x:v>0.9822935647718716</x:v>
      </x:c>
      <x:c r="U30" s="7" t="n">
        <x:f aca="0">U21*Assumptions!$C$35</x:f>
        <x:v>1.0314082430104652</x:v>
      </x:c>
      <x:c r="V30" s="7" t="n">
        <x:f aca="0">V21*Assumptions!$C$35</x:f>
        <x:v>1.0829786551609883</x:v>
      </x:c>
      <x:c r="W30" s="7" t="n">
        <x:f aca="0">W21*Assumptions!$C$35</x:f>
        <x:v>1.1371275879190381</x:v>
      </x:c>
      <x:c r="X30" s="7" t="n">
        <x:f aca="0">X21*Assumptions!$C$35</x:f>
        <x:v>1.19398396731499</x:v>
      </x:c>
      <x:c r="Y30" s="7" t="n">
        <x:f aca="0">Y21*Assumptions!$C$35</x:f>
        <x:v>1.2536831656807397</x:v>
      </x:c>
      <x:c r="Z30" s="7" t="n">
        <x:f aca="0">Z21*Assumptions!$C$35</x:f>
        <x:v>1.3163673239647764</x:v>
      </x:c>
    </x:row>
    <x:row r="31" ht="16.5" hidden="0" customHeight="1">
      <x:c r="A31" s="11" t="s">
        <x:v>316</x:v>
      </x:c>
      <x:c r="B31" s="1" t="s">
        <x:v>103</x:v>
      </x:c>
      <x:c r="C31" s="7" t="n">
        <x:f aca="0">C22-C25+C28</x:f>
        <x:v>0</x:v>
      </x:c>
      <x:c r="D31" s="7" t="n">
        <x:f aca="0">D22-D25+D28</x:f>
        <x:v>2.9682000000000004</x:v>
      </x:c>
      <x:c r="E31" s="7" t="n">
        <x:f aca="0">E22-E25+E28</x:f>
        <x:v>4.045644000000001</x:v>
      </x:c>
      <x:c r="F31" s="7" t="n">
        <x:f aca="0">F22-F25+F28</x:f>
        <x:v>5.1097227840000015</x:v>
      </x:c>
      <x:c r="G31" s="7" t="n">
        <x:f aca="0">G22-G25+G28</x:f>
        <x:v>6.171850525824002</x:v>
      </x:c>
      <x:c r="H31" s="7" t="n">
        <x:f aca="0">H22-H25+H28</x:f>
        <x:v>7.235459592171266</x:v>
      </x:c>
      <x:c r="I31" s="7" t="n">
        <x:f aca="0">I22-I25+I28</x:f>
        <x:v>8.303928053272305</x:v>
      </x:c>
      <x:c r="J31" s="7" t="n">
        <x:f aca="0">J22-J25+J28</x:f>
        <x:v>9.380591426612877</x:v>
      </x:c>
      <x:c r="K31" s="7" t="n">
        <x:f aca="0">K22-K25+K28</x:f>
        <x:v>10.468754082497153</x:v>
      </x:c>
      <x:c r="L31" s="7" t="n">
        <x:f aca="0">L22-L25+L28</x:f>
        <x:v>11.57170035376421</x:v>
      </x:c>
      <x:c r="M31" s="7" t="n">
        <x:f aca="0">M22-M25+M28</x:f>
        <x:v>12.692705390297522</x:v>
      </x:c>
      <x:c r="N31" s="7" t="n">
        <x:f aca="0">N22-N25+N28</x:f>
        <x:v>13.835045797451412</x:v>
      </x:c>
      <x:c r="O31" s="7" t="n">
        <x:f aca="0">O22-O25+O28</x:f>
        <x:v>15.0020100961541</x:v>
      </x:c>
      <x:c r="P31" s="7" t="n">
        <x:f aca="0">P22-P25+P28</x:f>
        <x:v>16.196909041226792</x:v>
      </x:c>
      <x:c r="Q31" s="7" t="n">
        <x:f aca="0">Q22-Q25+Q28</x:f>
        <x:v>17.423085833376163</x:v>
      </x:c>
      <x:c r="R31" s="7" t="n">
        <x:f aca="0">R22-R25+R28</x:f>
        <x:v>18.683926259367368</x:v>
      </x:c>
      <x:c r="S31" s="7" t="n">
        <x:f aca="0">S22-S25+S28</x:f>
        <x:v>19.9828687940615</x:v>
      </x:c>
      <x:c r="T31" s="7" t="n">
        <x:f aca="0">T22-T25+T28</x:f>
        <x:v>21.32341469729989</x:v>
      </x:c>
      <x:c r="U31" s="7" t="n">
        <x:f aca="0">U22-U25+U28</x:f>
        <x:v>22.70913813803394</x:v>
      </x:c>
      <x:c r="V31" s="7" t="n">
        <x:f aca="0">V22-V25+V28</x:f>
        <x:v>24.14369637762907</x:v>
      </x:c>
      <x:c r="W31" s="7" t="n">
        <x:f aca="0">W22-W25+W28</x:f>
        <x:v>25.630840043911576</x:v>
      </x:c>
      <x:c r="X31" s="7" t="n">
        <x:f aca="0">X22-X25+X28</x:f>
        <x:v>27.17442352727454</x:v>
      </x:c>
      <x:c r="Y31" s="7" t="n">
        <x:f aca="0">Y22-Y25+Y28</x:f>
        <x:v>28.778415530010943</x:v>
      </x:c>
      <x:c r="Z31" s="7" t="n">
        <x:f aca="0">Z22-Z25+Z28</x:f>
        <x:v>30.446909799996313</x:v>
      </x:c>
    </x:row>
    <x:row r="32" ht="16.5" hidden="0" customHeight="1">
      <x:c r="A32" s="1" t="s">
        <x:v>317</x:v>
      </x:c>
      <x:c r="B32" s="1" t="s">
        <x:v>103</x:v>
      </x:c>
      <x:c r="C32" s="7" t="n">
        <x:f aca="0">C23-C26+C29</x:f>
        <x:v>0</x:v>
      </x:c>
      <x:c r="D32" s="7" t="n">
        <x:f aca="0">D23-D26+D29</x:f>
        <x:v>3.3392250000000003</x:v>
      </x:c>
      <x:c r="E32" s="7" t="n">
        <x:f aca="0">E23-E26+E29</x:f>
        <x:v>4.551349500000001</x:v>
      </x:c>
      <x:c r="F32" s="7" t="n">
        <x:f aca="0">F23-F26+F29</x:f>
        <x:v>5.748438132</x:v>
      </x:c>
      <x:c r="G32" s="7" t="n">
        <x:f aca="0">G23-G26+G29</x:f>
        <x:v>6.943331841552</x:v>
      </x:c>
      <x:c r="H32" s="7" t="n">
        <x:f aca="0">H23-H26+H29</x:f>
        <x:v>8.139892041192672</x:v>
      </x:c>
      <x:c r="I32" s="7" t="n">
        <x:f aca="0">I23-I26+I29</x:f>
        <x:v>9.341919059931342</x:v>
      </x:c>
      <x:c r="J32" s="7" t="n">
        <x:f aca="0">J23-J26+J29</x:f>
        <x:v>10.553165354939487</x:v>
      </x:c>
      <x:c r="K32" s="7" t="n">
        <x:f aca="0">K23-K26+K29</x:f>
        <x:v>11.777348342809297</x:v>
      </x:c>
      <x:c r="L32" s="7" t="n">
        <x:f aca="0">L23-L26+L29</x:f>
        <x:v>13.018162897984737</x:v>
      </x:c>
      <x:c r="M32" s="7" t="n">
        <x:f aca="0">M23-M26+M29</x:f>
        <x:v>14.27929356408471</x:v>
      </x:c>
      <x:c r="N32" s="7" t="n">
        <x:f aca="0">N23-N26+N29</x:f>
        <x:v>15.564426522132834</x:v>
      </x:c>
      <x:c r="O32" s="7" t="n">
        <x:f aca="0">O23-O26+O29</x:f>
        <x:v>16.877261358173357</x:v>
      </x:c>
      <x:c r="P32" s="7" t="n">
        <x:f aca="0">P23-P26+P29</x:f>
        <x:v>18.221522671380136</x:v>
      </x:c>
      <x:c r="Q32" s="7" t="n">
        <x:f aca="0">Q23-Q26+Q29</x:f>
        <x:v>19.600971562548178</x:v>
      </x:c>
      <x:c r="R32" s="7" t="n">
        <x:f aca="0">R23-R26+R29</x:f>
        <x:v>21.01941704178828</x:v>
      </x:c>
      <x:c r="S32" s="7" t="n">
        <x:f aca="0">S23-S26+S29</x:f>
        <x:v>22.480727393319178</x:v>
      </x:c>
      <x:c r="T32" s="7" t="n">
        <x:f aca="0">T23-T26+T29</x:f>
        <x:v>23.988841534462367</x:v>
      </x:c>
      <x:c r="U32" s="7" t="n">
        <x:f aca="0">U23-U26+U29</x:f>
        <x:v>25.547780405288172</x:v>
      </x:c>
      <x:c r="V32" s="7" t="n">
        <x:f aca="0">V23-V26+V29</x:f>
        <x:v>27.161658424832694</x:v>
      </x:c>
      <x:c r="W32" s="7" t="n">
        <x:f aca="0">W23-W26+W29</x:f>
        <x:v>28.834695049400516</x:v>
      </x:c>
      <x:c r="X32" s="7" t="n">
        <x:f aca="0">X23-X26+X29</x:f>
        <x:v>30.571226468183852</x:v>
      </x:c>
      <x:c r="Y32" s="7" t="n">
        <x:f aca="0">Y23-Y26+Y29</x:f>
        <x:v>32.375717471262305</x:v>
      </x:c>
      <x:c r="Z32" s="7" t="n">
        <x:f aca="0">Z23-Z26+Z29</x:f>
        <x:v>34.252773524995845</x:v>
      </x:c>
    </x:row>
    <x:row r="33" ht="16.5" hidden="0" customHeight="1">
      <x:c r="A33" s="11" t="s">
        <x:v>318</x:v>
      </x:c>
      <x:c r="B33" s="1" t="s">
        <x:v>103</x:v>
      </x:c>
      <x:c r="C33" s="7" t="n">
        <x:f aca="0">C24-C27+C30</x:f>
        <x:v>0</x:v>
      </x:c>
      <x:c r="D33" s="7" t="n">
        <x:f aca="0">D24-D27+D30</x:f>
        <x:v>1.113075</x:v>
      </x:c>
      <x:c r="E33" s="7" t="n">
        <x:f aca="0">E24-E27+E30</x:f>
        <x:v>1.5171164999999998</x:v>
      </x:c>
      <x:c r="F33" s="7" t="n">
        <x:f aca="0">F24-F27+F30</x:f>
        <x:v>1.9161460439999998</x:v>
      </x:c>
      <x:c r="G33" s="7" t="n">
        <x:f aca="0">G24-G27+G30</x:f>
        <x:v>2.314443947184</x:v>
      </x:c>
      <x:c r="H33" s="7" t="n">
        <x:f aca="0">H24-H27+H30</x:f>
        <x:v>2.7132973470642243</x:v>
      </x:c>
      <x:c r="I33" s="7" t="n">
        <x:f aca="0">I24-I27+I30</x:f>
        <x:v>3.113973019977114</x:v>
      </x:c>
      <x:c r="J33" s="7" t="n">
        <x:f aca="0">J24-J27+J30</x:f>
        <x:v>3.5177217849798286</x:v>
      </x:c>
      <x:c r="K33" s="7" t="n">
        <x:f aca="0">K24-K27+K30</x:f>
        <x:v>3.9257827809364323</x:v>
      </x:c>
      <x:c r="L33" s="7" t="n">
        <x:f aca="0">L24-L27+L30</x:f>
        <x:v>4.339387632661579</x:v>
      </x:c>
      <x:c r="M33" s="7" t="n">
        <x:f aca="0">M24-M27+M30</x:f>
        <x:v>4.75976452136157</x:v>
      </x:c>
      <x:c r="N33" s="7" t="n">
        <x:f aca="0">N24-N27+N30</x:f>
        <x:v>5.188142174044279</x:v>
      </x:c>
      <x:c r="O33" s="7" t="n">
        <x:f aca="0">O24-O27+O30</x:f>
        <x:v>5.6257537860577855</x:v>
      </x:c>
      <x:c r="P33" s="7" t="n">
        <x:f aca="0">P24-P27+P30</x:f>
        <x:v>6.073840890460046</x:v>
      </x:c>
      <x:c r="Q33" s="7" t="n">
        <x:f aca="0">Q24-Q27+Q30</x:f>
        <x:v>6.533657187516059</x:v>
      </x:c>
      <x:c r="R33" s="7" t="n">
        <x:f aca="0">R24-R27+R30</x:f>
        <x:v>7.006472347262761</x:v>
      </x:c>
      <x:c r="S33" s="7" t="n">
        <x:f aca="0">S24-S27+S30</x:f>
        <x:v>7.493575797773061</x:v>
      </x:c>
      <x:c r="T33" s="7" t="n">
        <x:f aca="0">T24-T27+T30</x:f>
        <x:v>7.996280511487456</x:v>
      </x:c>
      <x:c r="U33" s="7" t="n">
        <x:f aca="0">U24-U27+U30</x:f>
        <x:v>8.515926801762724</x:v>
      </x:c>
      <x:c r="V33" s="7" t="n">
        <x:f aca="0">V24-V27+V30</x:f>
        <x:v>9.0538861416109</x:v>
      </x:c>
      <x:c r="W33" s="7" t="n">
        <x:f aca="0">W24-W27+W30</x:f>
        <x:v>9.61156501646684</x:v>
      </x:c>
      <x:c r="X33" s="7" t="n">
        <x:f aca="0">X24-X27+X30</x:f>
        <x:v>10.190408822727951</x:v>
      </x:c>
      <x:c r="Y33" s="7" t="n">
        <x:f aca="0">Y24-Y27+Y30</x:f>
        <x:v>10.791905823754101</x:v>
      </x:c>
      <x:c r="Z33" s="7" t="n">
        <x:f aca="0">Z24-Z27+Z30</x:f>
        <x:v>11.417591174998615</x:v>
      </x:c>
    </x:row>
    <x:row r="34" ht="16.5" hidden="0" customHeight="1">
      <x:c r="A34" s="10" t="s">
        <x:v>319</x:v>
      </x:c>
      <x:c r="B34" s="10" t="s">
        <x:v>103</x:v>
      </x:c>
      <x:c r="C34" s="32" t="n">
        <x:f aca="0">SUM(C31:C33)</x:f>
        <x:v>0</x:v>
      </x:c>
      <x:c r="D34" s="32" t="n">
        <x:f aca="0">SUM(D31:D33)</x:f>
        <x:v>7.4205000000000005</x:v>
      </x:c>
      <x:c r="E34" s="32" t="n">
        <x:f aca="0">SUM(E31:E33)</x:f>
        <x:v>10.114110000000002</x:v>
      </x:c>
      <x:c r="F34" s="32" t="n">
        <x:f aca="0">SUM(F31:F33)</x:f>
        <x:v>12.774306960000002</x:v>
      </x:c>
      <x:c r="G34" s="32" t="n">
        <x:f aca="0">SUM(G31:G33)</x:f>
        <x:v>15.429626314560002</x:v>
      </x:c>
      <x:c r="H34" s="32" t="n">
        <x:f aca="0">SUM(H31:H33)</x:f>
        <x:v>18.08864898042816</x:v>
      </x:c>
      <x:c r="I34" s="32" t="n">
        <x:f aca="0">SUM(I31:I33)</x:f>
        <x:v>20.75982013318076</x:v>
      </x:c>
      <x:c r="J34" s="32" t="n">
        <x:f aca="0">SUM(J31:J33)</x:f>
        <x:v>23.451478566532195</x:v>
      </x:c>
      <x:c r="K34" s="32" t="n">
        <x:f aca="0">SUM(K31:K33)</x:f>
        <x:v>26.171885206242884</x:v>
      </x:c>
      <x:c r="L34" s="32" t="n">
        <x:f aca="0">SUM(L31:L33)</x:f>
        <x:v>28.92925088441053</x:v>
      </x:c>
      <x:c r="M34" s="32" t="n">
        <x:f aca="0">SUM(M31:M33)</x:f>
        <x:v>31.731763475743804</x:v>
      </x:c>
      <x:c r="N34" s="32" t="n">
        <x:f aca="0">SUM(N31:N33)</x:f>
        <x:v>34.58761449362853</x:v>
      </x:c>
      <x:c r="O34" s="32" t="n">
        <x:f aca="0">SUM(O31:O33)</x:f>
        <x:v>37.505025240385244</x:v>
      </x:c>
      <x:c r="P34" s="32" t="n">
        <x:f aca="0">SUM(P31:P33)</x:f>
        <x:v>40.49227260306698</x:v>
      </x:c>
      <x:c r="Q34" s="32" t="n">
        <x:f aca="0">SUM(Q31:Q33)</x:f>
        <x:v>43.5577145834404</x:v>
      </x:c>
      <x:c r="R34" s="32" t="n">
        <x:f aca="0">SUM(R31:R33)</x:f>
        <x:v>46.70981564841841</x:v>
      </x:c>
      <x:c r="S34" s="32" t="n">
        <x:f aca="0">SUM(S31:S33)</x:f>
        <x:v>49.957171985153735</x:v>
      </x:c>
      <x:c r="T34" s="32" t="n">
        <x:f aca="0">SUM(T31:T33)</x:f>
        <x:v>53.30853674324971</x:v>
      </x:c>
      <x:c r="U34" s="32" t="n">
        <x:f aca="0">SUM(U31:U33)</x:f>
        <x:v>56.77284534508484</x:v>
      </x:c>
      <x:c r="V34" s="32" t="n">
        <x:f aca="0">SUM(V31:V33)</x:f>
        <x:v>60.35924094407267</x:v>
      </x:c>
      <x:c r="W34" s="32" t="n">
        <x:f aca="0">SUM(W31:W33)</x:f>
        <x:v>64.07710010977893</x:v>
      </x:c>
      <x:c r="X34" s="32" t="n">
        <x:f aca="0">SUM(X31:X33)</x:f>
        <x:v>67.93605881818634</x:v>
      </x:c>
      <x:c r="Y34" s="32" t="n">
        <x:f aca="0">SUM(Y31:Y33)</x:f>
        <x:v>71.94603882502736</x:v>
      </x:c>
      <x:c r="Z34" s="32" t="n">
        <x:f aca="0">SUM(Z31:Z33)</x:f>
        <x:v>76.11727449999077</x:v>
      </x:c>
    </x:row>
    <x:row r="35" ht="16.5" hidden="0" customHeight="1">
      <x:c r="A35" s="11" t="s">
        <x:v>320</x:v>
      </x:c>
      <x:c r="B35" s="1" t="s">
        <x:v>103</x:v>
      </x:c>
      <x:c r="C35" s="7" t="n">
        <x:f aca="0">0</x:f>
        <x:v>0</x:v>
      </x:c>
      <x:c r="D35" s="7" t="n">
        <x:f aca="0">C40</x:f>
        <x:v>12.877999999999997</x:v>
      </x:c>
      <x:c r="E35" s="7" t="n">
        <x:f aca="0">D40</x:f>
        <x:v>33.407852</x:v>
      </x:c>
      <x:c r="F35" s="7" t="n">
        <x:f aca="0">E40</x:f>
        <x:v>41.853536000000005</x:v>
      </x:c>
      <x:c r="G35" s="7" t="n">
        <x:f aca="0">F40</x:f>
        <x:v>48.675166112000014</x:v>
      </x:c>
      <x:c r="H35" s="7" t="n">
        <x:f aca="0">G40</x:f>
        <x:v>54.46055797203203</x:v>
      </x:c>
      <x:c r="I35" s="7" t="n">
        <x:f aca="0">H40</x:f>
        <x:v>59.56844815566199</x:v>
      </x:c>
      <x:c r="J35" s="7" t="n">
        <x:f aca="0">I40</x:f>
        <x:v>64.25251495688762</x:v>
      </x:c>
      <x:c r="K35" s="7" t="n">
        <x:f aca="0">J40</x:f>
        <x:v>68.6930131632534</x:v>
      </x:c>
      <x:c r="L35" s="7" t="n">
        <x:f aca="0">K40</x:f>
        <x:v>73.01892495697355</x:v>
      </x:c>
      <x:c r="M35" s="7" t="n">
        <x:f aca="0">L40</x:f>
        <x:v>77.32347238777105</x:v>
      </x:c>
      <x:c r="N35" s="7" t="n">
        <x:f aca="0">M40</x:f>
        <x:v>81.67498324644662</x:v>
      </x:c>
      <x:c r="O35" s="7" t="n">
        <x:f aca="0">N40</x:f>
        <x:v>86.12450463717443</x:v>
      </x:c>
      <x:c r="P35" s="7" t="n">
        <x:f aca="0">O40</x:f>
        <x:v>90.71114027552365</x:v>
      </x:c>
      <x:c r="Q35" s="7" t="n">
        <x:f aca="0">P40</x:f>
        <x:v>95.46579475026701</x:v>
      </x:c>
      <x:c r="R35" s="7" t="n">
        <x:f aca="0">Q40</x:f>
        <x:v>100.41380303559013</x:v>
      </x:c>
      <x:c r="S35" s="7" t="n">
        <x:f aca="0">R40</x:f>
        <x:v>105.5767800751607</x:v>
      </x:c>
      <x:c r="T35" s="7" t="n">
        <x:f aca="0">S40</x:f>
        <x:v>110.97392483481993</x:v>
      </x:c>
      <x:c r="U35" s="7" t="n">
        <x:f aca="0">T40</x:f>
        <x:v>116.6229429243346</x:v>
      </x:c>
      <x:c r="V35" s="7" t="n">
        <x:f aca="0">U40</x:f>
        <x:v>122.54070268224261</x:v>
      </x:c>
      <x:c r="W35" s="7" t="n">
        <x:f aca="0">V40</x:f>
        <x:v>128.74370517442037</x:v>
      </x:c>
      <x:c r="X35" s="7" t="n">
        <x:f aca="0">W40</x:f>
        <x:v>135.24842444775658</x:v>
      </x:c>
      <x:c r="Y35" s="7" t="n">
        <x:f aca="0">X40</x:f>
        <x:v>142.0715575050503</x:v>
      </x:c>
      <x:c r="Z35" s="7" t="n">
        <x:f aca="0">Y40</x:f>
        <x:v>149.230211655833</x:v>
      </x:c>
    </x:row>
    <x:row r="36" ht="16.5" hidden="0" customHeight="1">
      <x:c r="A36" s="1" t="s">
        <x:v>321</x:v>
      </x:c>
      <x:c r="B36" s="1" t="s">
        <x:v>103</x:v>
      </x:c>
      <x:c r="C36" s="7" t="n">
        <x:f aca="0">C14-C15</x:f>
        <x:v>12.877999999999997</x:v>
      </x:c>
      <x:c r="D36" s="7" t="n">
        <x:f aca="0">D14-D15</x:f>
        <x:v>8.431752000000001</x:v>
      </x:c>
      <x:c r="E36" s="7" t="n">
        <x:f aca="0">E14-E15</x:f>
        <x:v>8.82</x:v>
      </x:c>
      <x:c r="F36" s="7" t="n">
        <x:f aca="0">F14-F15</x:f>
        <x:v>9.261000000000001</x:v>
      </x:c>
      <x:c r="G36" s="7" t="n">
        <x:f aca="0">G14-G15</x:f>
        <x:v>9.724050000000004</x:v>
      </x:c>
      <x:c r="H36" s="7" t="n">
        <x:f aca="0">H14-H15</x:f>
        <x:v>10.210252500000003</x:v>
      </x:c>
      <x:c r="I36" s="7" t="n">
        <x:f aca="0">I14-I15</x:f>
        <x:v>10.720765125000003</x:v>
      </x:c>
      <x:c r="J36" s="7" t="n">
        <x:f aca="0">J14-J15</x:f>
        <x:v>11.256803381250005</x:v>
      </x:c>
      <x:c r="K36" s="7" t="n">
        <x:f aca="0">K14-K15</x:f>
        <x:v>11.819643550312506</x:v>
      </x:c>
      <x:c r="L36" s="7" t="n">
        <x:f aca="0">L14-L15</x:f>
        <x:v>12.41062572782813</x:v>
      </x:c>
      <x:c r="M36" s="7" t="n">
        <x:f aca="0">M14-M15</x:f>
        <x:v>13.031157014219538</x:v>
      </x:c>
      <x:c r="N36" s="7" t="n">
        <x:f aca="0">N14-N15</x:f>
        <x:v>13.682714864930514</x:v>
      </x:c>
      <x:c r="O36" s="7" t="n">
        <x:f aca="0">O14-O15</x:f>
        <x:v>14.366850608177042</x:v>
      </x:c>
      <x:c r="P36" s="7" t="n">
        <x:f aca="0">P14-P15</x:f>
        <x:v>15.085193138585893</x:v>
      </x:c>
      <x:c r="Q36" s="7" t="n">
        <x:f aca="0">Q14-Q15</x:f>
        <x:v>15.83945279551519</x:v>
      </x:c>
      <x:c r="R36" s="7" t="n">
        <x:f aca="0">R14-R15</x:f>
        <x:v>16.63142543529095</x:v>
      </x:c>
      <x:c r="S36" s="7" t="n">
        <x:f aca="0">S14-S15</x:f>
        <x:v>17.462996707055495</x:v>
      </x:c>
      <x:c r="T36" s="7" t="n">
        <x:f aca="0">T14-T15</x:f>
        <x:v>18.336146542408272</x:v>
      </x:c>
      <x:c r="U36" s="7" t="n">
        <x:f aca="0">U14-U15</x:f>
        <x:v>19.252953869528685</x:v>
      </x:c>
      <x:c r="V36" s="7" t="n">
        <x:f aca="0">V14-V15</x:f>
        <x:v>20.215601563005123</x:v>
      </x:c>
      <x:c r="W36" s="7" t="n">
        <x:f aca="0">W14-W15</x:f>
        <x:v>21.226381641155378</x:v>
      </x:c>
      <x:c r="X36" s="7" t="n">
        <x:f aca="0">X14-X15</x:f>
        <x:v>22.28770072321315</x:v>
      </x:c>
      <x:c r="Y36" s="7" t="n">
        <x:f aca="0">Y14-Y15</x:f>
        <x:v>23.40208575937381</x:v>
      </x:c>
      <x:c r="Z36" s="7" t="n">
        <x:f aca="0">Z14-Z15</x:f>
        <x:v>24.572190047342502</x:v>
      </x:c>
    </x:row>
    <x:row r="37" ht="16.5" hidden="0" customHeight="1">
      <x:c r="A37" s="1" t="s">
        <x:v>322</x:v>
      </x:c>
      <x:c r="B37" s="1" t="s">
        <x:v>103</x:v>
      </x:c>
      <x:c r="C37" s="7" t="n">
        <x:f aca="0">SUM(IF(0=MAX(1,ROUNDUP(Assumptions!$C$9/30,0)),C13*(1-Assumptions!$C$24),0),IF(0=MAX(1,ROUNDUP(Assumptions!$C$9/30,0)),C12*(1-Assumptions!$C$25),0))+IF(0=Assumptions!$C$12,$C$8*(1-Assumptions!$C$26),0)</x:f>
        <x:v>0</x:v>
      </x:c>
      <x:c r="D37" s="7" t="n">
        <x:f aca="0">SUM(IF(1=MAX(1,ROUNDUP(Assumptions!$C$9/30,0)),C13*(1-Assumptions!$C$24),0),IF(0=MAX(1,ROUNDUP(Assumptions!$C$9/30,0)),D13*(1-Assumptions!$C$24),0),IF(1=MAX(1,ROUNDUP(Assumptions!$C$9/30,0)),C12*(1-Assumptions!$C$25),0),IF(0=MAX(1,ROUNDUP(Assumptions!$C$9/30,0)),D12*(1-Assumptions!$C$25),0))+IF(1=Assumptions!$C$12,$C$8*(1-Assumptions!$C$26),0)</x:f>
        <x:v>15.961500000000001</x:v>
      </x:c>
      <x:c r="E37" s="7" t="n">
        <x:f aca="0">SUM(IF(2=MAX(1,ROUNDUP(Assumptions!$C$9/30,0)),C13*(1-Assumptions!$C$24),0),IF(1=MAX(1,ROUNDUP(Assumptions!$C$9/30,0)),D13*(1-Assumptions!$C$24),0),IF(0=MAX(1,ROUNDUP(Assumptions!$C$9/30,0)),E13*(1-Assumptions!$C$24),0),IF(2=MAX(1,ROUNDUP(Assumptions!$C$9/30,0)),C12*(1-Assumptions!$C$25),0),IF(1=MAX(1,ROUNDUP(Assumptions!$C$9/30,0)),D12*(1-Assumptions!$C$25),0),IF(0=MAX(1,ROUNDUP(Assumptions!$C$9/30,0)),E12*(1-Assumptions!$C$25),0))+IF(2=Assumptions!$C$12,$C$8*(1-Assumptions!$C$26),0)</x:f>
        <x:v>9.505566</x:v>
      </x:c>
      <x:c r="F37" s="7" t="n">
        <x:f aca="0">SUM(IF(3=MAX(1,ROUNDUP(Assumptions!$C$9/30,0)),C13*(1-Assumptions!$C$24),0),IF(2=MAX(1,ROUNDUP(Assumptions!$C$9/30,0)),D13*(1-Assumptions!$C$24),0),IF(1=MAX(1,ROUNDUP(Assumptions!$C$9/30,0)),E13*(1-Assumptions!$C$24),0),IF(0=MAX(1,ROUNDUP(Assumptions!$C$9/30,0)),F13*(1-Assumptions!$C$24),0),IF(3=MAX(1,ROUNDUP(Assumptions!$C$9/30,0)),C12*(1-Assumptions!$C$25),0),IF(2=MAX(1,ROUNDUP(Assumptions!$C$9/30,0)),D12*(1-Assumptions!$C$25),0),IF(1=MAX(1,ROUNDUP(Assumptions!$C$9/30,0)),E12*(1-Assumptions!$C$25),0),IF(0=MAX(1,ROUNDUP(Assumptions!$C$9/30,0)),F12*(1-Assumptions!$C$25),0))+IF(3=Assumptions!$C$12,$C$8*(1-Assumptions!$C$26),0)</x:f>
        <x:v>9.9225</x:v>
      </x:c>
      <x:c r="G37" s="7" t="n">
        <x:f aca="0">SUM(IF(4=MAX(1,ROUNDUP(Assumptions!$C$9/30,0)),C13*(1-Assumptions!$C$24),0),IF(3=MAX(1,ROUNDUP(Assumptions!$C$9/30,0)),D13*(1-Assumptions!$C$24),0),IF(2=MAX(1,ROUNDUP(Assumptions!$C$9/30,0)),E13*(1-Assumptions!$C$24),0),IF(1=MAX(1,ROUNDUP(Assumptions!$C$9/30,0)),F13*(1-Assumptions!$C$24),0),IF(0=MAX(1,ROUNDUP(Assumptions!$C$9/30,0)),G13*(1-Assumptions!$C$24),0),IF(4=MAX(1,ROUNDUP(Assumptions!$C$9/30,0)),C12*(1-Assumptions!$C$25),0),IF(3=MAX(1,ROUNDUP(Assumptions!$C$9/30,0)),D12*(1-Assumptions!$C$25),0),IF(2=MAX(1,ROUNDUP(Assumptions!$C$9/30,0)),E12*(1-Assumptions!$C$25),0),IF(1=MAX(1,ROUNDUP(Assumptions!$C$9/30,0)),F12*(1-Assumptions!$C$25),0),IF(0=MAX(1,ROUNDUP(Assumptions!$C$9/30,0)),G12*(1-Assumptions!$C$25),0))+IF(4=Assumptions!$C$12,$C$8*(1-Assumptions!$C$26),0)</x:f>
        <x:v>10.418625000000002</x:v>
      </x:c>
      <x:c r="H37" s="7" t="n">
        <x:f aca="0">SUM(IF(5=MAX(1,ROUNDUP(Assumptions!$C$9/30,0)),C13*(1-Assumptions!$C$24),0),IF(4=MAX(1,ROUNDUP(Assumptions!$C$9/30,0)),D13*(1-Assumptions!$C$24),0),IF(3=MAX(1,ROUNDUP(Assumptions!$C$9/30,0)),E13*(1-Assumptions!$C$24),0),IF(2=MAX(1,ROUNDUP(Assumptions!$C$9/30,0)),F13*(1-Assumptions!$C$24),0),IF(1=MAX(1,ROUNDUP(Assumptions!$C$9/30,0)),G13*(1-Assumptions!$C$24),0),IF(0=MAX(1,ROUNDUP(Assumptions!$C$9/30,0)),H13*(1-Assumptions!$C$24),0),IF(5=MAX(1,ROUNDUP(Assumptions!$C$9/30,0)),C12*(1-Assumptions!$C$25),0),IF(4=MAX(1,ROUNDUP(Assumptions!$C$9/30,0)),D12*(1-Assumptions!$C$25),0),IF(3=MAX(1,ROUNDUP(Assumptions!$C$9/30,0)),E12*(1-Assumptions!$C$25),0),IF(2=MAX(1,ROUNDUP(Assumptions!$C$9/30,0)),F12*(1-Assumptions!$C$25),0),IF(1=MAX(1,ROUNDUP(Assumptions!$C$9/30,0)),G12*(1-Assumptions!$C$25),0),IF(0=MAX(1,ROUNDUP(Assumptions!$C$9/30,0)),H12*(1-Assumptions!$C$25),0))+IF(5=Assumptions!$C$12,$C$8*(1-Assumptions!$C$26),0)</x:f>
        <x:v>10.939556250000003</x:v>
      </x:c>
      <x:c r="I37" s="7" t="n">
        <x:f aca="0">SUM(IF(6=MAX(1,ROUNDUP(Assumptions!$C$9/30,0)),C13*(1-Assumptions!$C$24),0),IF(5=MAX(1,ROUNDUP(Assumptions!$C$9/30,0)),D13*(1-Assumptions!$C$24),0),IF(4=MAX(1,ROUNDUP(Assumptions!$C$9/30,0)),E13*(1-Assumptions!$C$24),0),IF(3=MAX(1,ROUNDUP(Assumptions!$C$9/30,0)),F13*(1-Assumptions!$C$24),0),IF(2=MAX(1,ROUNDUP(Assumptions!$C$9/30,0)),G13*(1-Assumptions!$C$24),0),IF(1=MAX(1,ROUNDUP(Assumptions!$C$9/30,0)),H13*(1-Assumptions!$C$24),0),IF(0=MAX(1,ROUNDUP(Assumptions!$C$9/30,0)),I13*(1-Assumptions!$C$24),0),IF(6=MAX(1,ROUNDUP(Assumptions!$C$9/30,0)),C12*(1-Assumptions!$C$25),0),IF(5=MAX(1,ROUNDUP(Assumptions!$C$9/30,0)),D12*(1-Assumptions!$C$25),0),IF(4=MAX(1,ROUNDUP(Assumptions!$C$9/30,0)),E12*(1-Assumptions!$C$25),0),IF(3=MAX(1,ROUNDUP(Assumptions!$C$9/30,0)),F12*(1-Assumptions!$C$25),0),IF(2=MAX(1,ROUNDUP(Assumptions!$C$9/30,0)),G12*(1-Assumptions!$C$25),0),IF(1=MAX(1,ROUNDUP(Assumptions!$C$9/30,0)),H12*(1-Assumptions!$C$25),0),IF(0=MAX(1,ROUNDUP(Assumptions!$C$9/30,0)),I12*(1-Assumptions!$C$25),0))+IF(6=Assumptions!$C$12,$C$8*(1-Assumptions!$C$26),0)</x:f>
        <x:v>11.486534062500002</x:v>
      </x:c>
      <x:c r="J37" s="7" t="n">
        <x:f aca="0">SUM(IF(7=MAX(1,ROUNDUP(Assumptions!$C$9/30,0)),C13*(1-Assumptions!$C$24),0),IF(6=MAX(1,ROUNDUP(Assumptions!$C$9/30,0)),D13*(1-Assumptions!$C$24),0),IF(5=MAX(1,ROUNDUP(Assumptions!$C$9/30,0)),E13*(1-Assumptions!$C$24),0),IF(4=MAX(1,ROUNDUP(Assumptions!$C$9/30,0)),F13*(1-Assumptions!$C$24),0),IF(3=MAX(1,ROUNDUP(Assumptions!$C$9/30,0)),G13*(1-Assumptions!$C$24),0),IF(2=MAX(1,ROUNDUP(Assumptions!$C$9/30,0)),H13*(1-Assumptions!$C$24),0),IF(1=MAX(1,ROUNDUP(Assumptions!$C$9/30,0)),I13*(1-Assumptions!$C$24),0),IF(0=MAX(1,ROUNDUP(Assumptions!$C$9/30,0)),J13*(1-Assumptions!$C$24),0),IF(7=MAX(1,ROUNDUP(Assumptions!$C$9/30,0)),C12*(1-Assumptions!$C$25),0),IF(6=MAX(1,ROUNDUP(Assumptions!$C$9/30,0)),D12*(1-Assumptions!$C$25),0),IF(5=MAX(1,ROUNDUP(Assumptions!$C$9/30,0)),E12*(1-Assumptions!$C$25),0),IF(4=MAX(1,ROUNDUP(Assumptions!$C$9/30,0)),F12*(1-Assumptions!$C$25),0),IF(3=MAX(1,ROUNDUP(Assumptions!$C$9/30,0)),G12*(1-Assumptions!$C$25),0),IF(2=MAX(1,ROUNDUP(Assumptions!$C$9/30,0)),H12*(1-Assumptions!$C$25),0),IF(1=MAX(1,ROUNDUP(Assumptions!$C$9/30,0)),I12*(1-Assumptions!$C$25),0),IF(0=MAX(1,ROUNDUP(Assumptions!$C$9/30,0)),J12*(1-Assumptions!$C$25),0))+IF(7=Assumptions!$C$12,$C$8*(1-Assumptions!$C$26),0)</x:f>
        <x:v>12.060860765625002</x:v>
      </x:c>
      <x:c r="K37" s="7" t="n">
        <x:f aca="0">SUM(IF(8=MAX(1,ROUNDUP(Assumptions!$C$9/30,0)),C13*(1-Assumptions!$C$24),0),IF(7=MAX(1,ROUNDUP(Assumptions!$C$9/30,0)),D13*(1-Assumptions!$C$24),0),IF(6=MAX(1,ROUNDUP(Assumptions!$C$9/30,0)),E13*(1-Assumptions!$C$24),0),IF(5=MAX(1,ROUNDUP(Assumptions!$C$9/30,0)),F13*(1-Assumptions!$C$24),0),IF(4=MAX(1,ROUNDUP(Assumptions!$C$9/30,0)),G13*(1-Assumptions!$C$24),0),IF(3=MAX(1,ROUNDUP(Assumptions!$C$9/30,0)),H13*(1-Assumptions!$C$24),0),IF(2=MAX(1,ROUNDUP(Assumptions!$C$9/30,0)),I13*(1-Assumptions!$C$24),0),IF(1=MAX(1,ROUNDUP(Assumptions!$C$9/30,0)),J13*(1-Assumptions!$C$24),0),IF(0=MAX(1,ROUNDUP(Assumptions!$C$9/30,0)),K13*(1-Assumptions!$C$24),0),IF(8=MAX(1,ROUNDUP(Assumptions!$C$9/30,0)),C12*(1-Assumptions!$C$25),0),IF(7=MAX(1,ROUNDUP(Assumptions!$C$9/30,0)),D12*(1-Assumptions!$C$25),0),IF(6=MAX(1,ROUNDUP(Assumptions!$C$9/30,0)),E12*(1-Assumptions!$C$25),0),IF(5=MAX(1,ROUNDUP(Assumptions!$C$9/30,0)),F12*(1-Assumptions!$C$25),0),IF(4=MAX(1,ROUNDUP(Assumptions!$C$9/30,0)),G12*(1-Assumptions!$C$25),0),IF(3=MAX(1,ROUNDUP(Assumptions!$C$9/30,0)),H12*(1-Assumptions!$C$25),0),IF(2=MAX(1,ROUNDUP(Assumptions!$C$9/30,0)),I12*(1-Assumptions!$C$25),0),IF(1=MAX(1,ROUNDUP(Assumptions!$C$9/30,0)),J12*(1-Assumptions!$C$25),0),IF(0=MAX(1,ROUNDUP(Assumptions!$C$9/30,0)),K12*(1-Assumptions!$C$25),0))+IF(8=Assumptions!$C$12,$C$8*(1-Assumptions!$C$26),0)</x:f>
        <x:v>12.663903803906251</x:v>
      </x:c>
      <x:c r="L37" s="7" t="n">
        <x:f aca="0">SUM(IF(9=MAX(1,ROUNDUP(Assumptions!$C$9/30,0)),C13*(1-Assumptions!$C$24),0),IF(8=MAX(1,ROUNDUP(Assumptions!$C$9/30,0)),D13*(1-Assumptions!$C$24),0),IF(7=MAX(1,ROUNDUP(Assumptions!$C$9/30,0)),E13*(1-Assumptions!$C$24),0),IF(6=MAX(1,ROUNDUP(Assumptions!$C$9/30,0)),F13*(1-Assumptions!$C$24),0),IF(5=MAX(1,ROUNDUP(Assumptions!$C$9/30,0)),G13*(1-Assumptions!$C$24),0),IF(4=MAX(1,ROUNDUP(Assumptions!$C$9/30,0)),H13*(1-Assumptions!$C$24),0),IF(3=MAX(1,ROUNDUP(Assumptions!$C$9/30,0)),I13*(1-Assumptions!$C$24),0),IF(2=MAX(1,ROUNDUP(Assumptions!$C$9/30,0)),J13*(1-Assumptions!$C$24),0),IF(1=MAX(1,ROUNDUP(Assumptions!$C$9/30,0)),K13*(1-Assumptions!$C$24),0),IF(0=MAX(1,ROUNDUP(Assumptions!$C$9/30,0)),L13*(1-Assumptions!$C$24),0),IF(9=MAX(1,ROUNDUP(Assumptions!$C$9/30,0)),C12*(1-Assumptions!$C$25),0),IF(8=MAX(1,ROUNDUP(Assumptions!$C$9/30,0)),D12*(1-Assumptions!$C$25),0),IF(7=MAX(1,ROUNDUP(Assumptions!$C$9/30,0)),E12*(1-Assumptions!$C$25),0),IF(6=MAX(1,ROUNDUP(Assumptions!$C$9/30,0)),F12*(1-Assumptions!$C$25),0),IF(5=MAX(1,ROUNDUP(Assumptions!$C$9/30,0)),G12*(1-Assumptions!$C$25),0),IF(4=MAX(1,ROUNDUP(Assumptions!$C$9/30,0)),H12*(1-Assumptions!$C$25),0),IF(3=MAX(1,ROUNDUP(Assumptions!$C$9/30,0)),I12*(1-Assumptions!$C$25),0),IF(2=MAX(1,ROUNDUP(Assumptions!$C$9/30,0)),J12*(1-Assumptions!$C$25),0),IF(1=MAX(1,ROUNDUP(Assumptions!$C$9/30,0)),K12*(1-Assumptions!$C$25),0),IF(0=MAX(1,ROUNDUP(Assumptions!$C$9/30,0)),L12*(1-Assumptions!$C$25),0))+IF(9=Assumptions!$C$12,$C$8*(1-Assumptions!$C$26),0)</x:f>
        <x:v>13.297098994101567</x:v>
      </x:c>
      <x:c r="M37" s="7" t="n">
        <x:f aca="0">SUM(IF(10=MAX(1,ROUNDUP(Assumptions!$C$9/30,0)),C13*(1-Assumptions!$C$24),0),IF(9=MAX(1,ROUNDUP(Assumptions!$C$9/30,0)),D13*(1-Assumptions!$C$24),0),IF(8=MAX(1,ROUNDUP(Assumptions!$C$9/30,0)),E13*(1-Assumptions!$C$24),0),IF(7=MAX(1,ROUNDUP(Assumptions!$C$9/30,0)),F13*(1-Assumptions!$C$24),0),IF(6=MAX(1,ROUNDUP(Assumptions!$C$9/30,0)),G13*(1-Assumptions!$C$24),0),IF(5=MAX(1,ROUNDUP(Assumptions!$C$9/30,0)),H13*(1-Assumptions!$C$24),0),IF(4=MAX(1,ROUNDUP(Assumptions!$C$9/30,0)),I13*(1-Assumptions!$C$24),0),IF(3=MAX(1,ROUNDUP(Assumptions!$C$9/30,0)),J13*(1-Assumptions!$C$24),0),IF(2=MAX(1,ROUNDUP(Assumptions!$C$9/30,0)),K13*(1-Assumptions!$C$24),0),IF(1=MAX(1,ROUNDUP(Assumptions!$C$9/30,0)),L13*(1-Assumptions!$C$24),0),IF(0=MAX(1,ROUNDUP(Assumptions!$C$9/30,0)),M13*(1-Assumptions!$C$24),0),IF(10=MAX(1,ROUNDUP(Assumptions!$C$9/30,0)),C12*(1-Assumptions!$C$25),0),IF(9=MAX(1,ROUNDUP(Assumptions!$C$9/30,0)),D12*(1-Assumptions!$C$25),0),IF(8=MAX(1,ROUNDUP(Assumptions!$C$9/30,0)),E12*(1-Assumptions!$C$25),0),IF(7=MAX(1,ROUNDUP(Assumptions!$C$9/30,0)),F12*(1-Assumptions!$C$25),0),IF(6=MAX(1,ROUNDUP(Assumptions!$C$9/30,0)),G12*(1-Assumptions!$C$25),0),IF(5=MAX(1,ROUNDUP(Assumptions!$C$9/30,0)),H12*(1-Assumptions!$C$25),0),IF(4=MAX(1,ROUNDUP(Assumptions!$C$9/30,0)),I12*(1-Assumptions!$C$25),0),IF(3=MAX(1,ROUNDUP(Assumptions!$C$9/30,0)),J12*(1-Assumptions!$C$25),0),IF(2=MAX(1,ROUNDUP(Assumptions!$C$9/30,0)),K12*(1-Assumptions!$C$25),0),IF(1=MAX(1,ROUNDUP(Assumptions!$C$9/30,0)),L12*(1-Assumptions!$C$25),0),IF(0=MAX(1,ROUNDUP(Assumptions!$C$9/30,0)),M12*(1-Assumptions!$C$25),0))+IF(10=Assumptions!$C$12,$C$8*(1-Assumptions!$C$26),0)</x:f>
        <x:v>13.961953943806648</x:v>
      </x:c>
      <x:c r="N37" s="7" t="n">
        <x:f aca="0">SUM(IF(11=MAX(1,ROUNDUP(Assumptions!$C$9/30,0)),C13*(1-Assumptions!$C$24),0),IF(10=MAX(1,ROUNDUP(Assumptions!$C$9/30,0)),D13*(1-Assumptions!$C$24),0),IF(9=MAX(1,ROUNDUP(Assumptions!$C$9/30,0)),E13*(1-Assumptions!$C$24),0),IF(8=MAX(1,ROUNDUP(Assumptions!$C$9/30,0)),F13*(1-Assumptions!$C$24),0),IF(7=MAX(1,ROUNDUP(Assumptions!$C$9/30,0)),G13*(1-Assumptions!$C$24),0),IF(6=MAX(1,ROUNDUP(Assumptions!$C$9/30,0)),H13*(1-Assumptions!$C$24),0),IF(5=MAX(1,ROUNDUP(Assumptions!$C$9/30,0)),I13*(1-Assumptions!$C$24),0),IF(4=MAX(1,ROUNDUP(Assumptions!$C$9/30,0)),J13*(1-Assumptions!$C$24),0),IF(3=MAX(1,ROUNDUP(Assumptions!$C$9/30,0)),K13*(1-Assumptions!$C$24),0),IF(2=MAX(1,ROUNDUP(Assumptions!$C$9/30,0)),L13*(1-Assumptions!$C$24),0),IF(1=MAX(1,ROUNDUP(Assumptions!$C$9/30,0)),M13*(1-Assumptions!$C$24),0),IF(0=MAX(1,ROUNDUP(Assumptions!$C$9/30,0)),N13*(1-Assumptions!$C$24),0),IF(11=MAX(1,ROUNDUP(Assumptions!$C$9/30,0)),C12*(1-Assumptions!$C$25),0),IF(10=MAX(1,ROUNDUP(Assumptions!$C$9/30,0)),D12*(1-Assumptions!$C$25),0),IF(9=MAX(1,ROUNDUP(Assumptions!$C$9/30,0)),E12*(1-Assumptions!$C$25),0),IF(8=MAX(1,ROUNDUP(Assumptions!$C$9/30,0)),F12*(1-Assumptions!$C$25),0),IF(7=MAX(1,ROUNDUP(Assumptions!$C$9/30,0)),G12*(1-Assumptions!$C$25),0),IF(6=MAX(1,ROUNDUP(Assumptions!$C$9/30,0)),H12*(1-Assumptions!$C$25),0),IF(5=MAX(1,ROUNDUP(Assumptions!$C$9/30,0)),I12*(1-Assumptions!$C$25),0),IF(4=MAX(1,ROUNDUP(Assumptions!$C$9/30,0)),J12*(1-Assumptions!$C$25),0),IF(3=MAX(1,ROUNDUP(Assumptions!$C$9/30,0)),K12*(1-Assumptions!$C$25),0),IF(2=MAX(1,ROUNDUP(Assumptions!$C$9/30,0)),L12*(1-Assumptions!$C$25),0),IF(1=MAX(1,ROUNDUP(Assumptions!$C$9/30,0)),M12*(1-Assumptions!$C$25),0),IF(0=MAX(1,ROUNDUP(Assumptions!$C$9/30,0)),N12*(1-Assumptions!$C$25),0))+IF(11=Assumptions!$C$12,$C$8*(1-Assumptions!$C$26),0)</x:f>
        <x:v>14.660051640996977</x:v>
      </x:c>
      <x:c r="O37" s="7" t="n">
        <x:f aca="0">SUM(IF(12=MAX(1,ROUNDUP(Assumptions!$C$9/30,0)),C13*(1-Assumptions!$C$24),0),IF(11=MAX(1,ROUNDUP(Assumptions!$C$9/30,0)),D13*(1-Assumptions!$C$24),0),IF(10=MAX(1,ROUNDUP(Assumptions!$C$9/30,0)),E13*(1-Assumptions!$C$24),0),IF(9=MAX(1,ROUNDUP(Assumptions!$C$9/30,0)),F13*(1-Assumptions!$C$24),0),IF(8=MAX(1,ROUNDUP(Assumptions!$C$9/30,0)),G13*(1-Assumptions!$C$24),0),IF(7=MAX(1,ROUNDUP(Assumptions!$C$9/30,0)),H13*(1-Assumptions!$C$24),0),IF(6=MAX(1,ROUNDUP(Assumptions!$C$9/30,0)),I13*(1-Assumptions!$C$24),0),IF(5=MAX(1,ROUNDUP(Assumptions!$C$9/30,0)),J13*(1-Assumptions!$C$24),0),IF(4=MAX(1,ROUNDUP(Assumptions!$C$9/30,0)),K13*(1-Assumptions!$C$24),0),IF(3=MAX(1,ROUNDUP(Assumptions!$C$9/30,0)),L13*(1-Assumptions!$C$24),0),IF(2=MAX(1,ROUNDUP(Assumptions!$C$9/30,0)),M13*(1-Assumptions!$C$24),0),IF(1=MAX(1,ROUNDUP(Assumptions!$C$9/30,0)),N13*(1-Assumptions!$C$24),0),IF(0=MAX(1,ROUNDUP(Assumptions!$C$9/30,0)),O13*(1-Assumptions!$C$24),0),IF(12=MAX(1,ROUNDUP(Assumptions!$C$9/30,0)),C12*(1-Assumptions!$C$25),0),IF(11=MAX(1,ROUNDUP(Assumptions!$C$9/30,0)),D12*(1-Assumptions!$C$25),0),IF(10=MAX(1,ROUNDUP(Assumptions!$C$9/30,0)),E12*(1-Assumptions!$C$25),0),IF(9=MAX(1,ROUNDUP(Assumptions!$C$9/30,0)),F12*(1-Assumptions!$C$25),0),IF(8=MAX(1,ROUNDUP(Assumptions!$C$9/30,0)),G12*(1-Assumptions!$C$25),0),IF(7=MAX(1,ROUNDUP(Assumptions!$C$9/30,0)),H12*(1-Assumptions!$C$25),0),IF(6=MAX(1,ROUNDUP(Assumptions!$C$9/30,0)),I12*(1-Assumptions!$C$25),0),IF(5=MAX(1,ROUNDUP(Assumptions!$C$9/30,0)),J12*(1-Assumptions!$C$25),0),IF(4=MAX(1,ROUNDUP(Assumptions!$C$9/30,0)),K12*(1-Assumptions!$C$25),0),IF(3=MAX(1,ROUNDUP(Assumptions!$C$9/30,0)),L12*(1-Assumptions!$C$25),0),IF(2=MAX(1,ROUNDUP(Assumptions!$C$9/30,0)),M12*(1-Assumptions!$C$25),0),IF(1=MAX(1,ROUNDUP(Assumptions!$C$9/30,0)),N12*(1-Assumptions!$C$25),0),IF(0=MAX(1,ROUNDUP(Assumptions!$C$9/30,0)),O12*(1-Assumptions!$C$25),0))+IF(12=Assumptions!$C$12,$C$8*(1-Assumptions!$C$26),0)</x:f>
        <x:v>15.393054223046828</x:v>
      </x:c>
      <x:c r="P37" s="7" t="n">
        <x:f aca="0">SUM(IF(13=MAX(1,ROUNDUP(Assumptions!$C$9/30,0)),C13*(1-Assumptions!$C$24),0),IF(12=MAX(1,ROUNDUP(Assumptions!$C$9/30,0)),D13*(1-Assumptions!$C$24),0),IF(11=MAX(1,ROUNDUP(Assumptions!$C$9/30,0)),E13*(1-Assumptions!$C$24),0),IF(10=MAX(1,ROUNDUP(Assumptions!$C$9/30,0)),F13*(1-Assumptions!$C$24),0),IF(9=MAX(1,ROUNDUP(Assumptions!$C$9/30,0)),G13*(1-Assumptions!$C$24),0),IF(8=MAX(1,ROUNDUP(Assumptions!$C$9/30,0)),H13*(1-Assumptions!$C$24),0),IF(7=MAX(1,ROUNDUP(Assumptions!$C$9/30,0)),I13*(1-Assumptions!$C$24),0),IF(6=MAX(1,ROUNDUP(Assumptions!$C$9/30,0)),J13*(1-Assumptions!$C$24),0),IF(5=MAX(1,ROUNDUP(Assumptions!$C$9/30,0)),K13*(1-Assumptions!$C$24),0),IF(4=MAX(1,ROUNDUP(Assumptions!$C$9/30,0)),L13*(1-Assumptions!$C$24),0),IF(3=MAX(1,ROUNDUP(Assumptions!$C$9/30,0)),M13*(1-Assumptions!$C$24),0),IF(2=MAX(1,ROUNDUP(Assumptions!$C$9/30,0)),N13*(1-Assumptions!$C$24),0),IF(1=MAX(1,ROUNDUP(Assumptions!$C$9/30,0)),O13*(1-Assumptions!$C$24),0),IF(0=MAX(1,ROUNDUP(Assumptions!$C$9/30,0)),P13*(1-Assumptions!$C$24),0),IF(13=MAX(1,ROUNDUP(Assumptions!$C$9/30,0)),C12*(1-Assumptions!$C$25),0),IF(12=MAX(1,ROUNDUP(Assumptions!$C$9/30,0)),D12*(1-Assumptions!$C$25),0),IF(11=MAX(1,ROUNDUP(Assumptions!$C$9/30,0)),E12*(1-Assumptions!$C$25),0),IF(10=MAX(1,ROUNDUP(Assumptions!$C$9/30,0)),F12*(1-Assumptions!$C$25),0),IF(9=MAX(1,ROUNDUP(Assumptions!$C$9/30,0)),G12*(1-Assumptions!$C$25),0),IF(8=MAX(1,ROUNDUP(Assumptions!$C$9/30,0)),H12*(1-Assumptions!$C$25),0),IF(7=MAX(1,ROUNDUP(Assumptions!$C$9/30,0)),I12*(1-Assumptions!$C$25),0),IF(6=MAX(1,ROUNDUP(Assumptions!$C$9/30,0)),J12*(1-Assumptions!$C$25),0),IF(5=MAX(1,ROUNDUP(Assumptions!$C$9/30,0)),K12*(1-Assumptions!$C$25),0),IF(4=MAX(1,ROUNDUP(Assumptions!$C$9/30,0)),L12*(1-Assumptions!$C$25),0),IF(3=MAX(1,ROUNDUP(Assumptions!$C$9/30,0)),M12*(1-Assumptions!$C$25),0),IF(2=MAX(1,ROUNDUP(Assumptions!$C$9/30,0)),N12*(1-Assumptions!$C$25),0),IF(1=MAX(1,ROUNDUP(Assumptions!$C$9/30,0)),O12*(1-Assumptions!$C$25),0),IF(0=MAX(1,ROUNDUP(Assumptions!$C$9/30,0)),P12*(1-Assumptions!$C$25),0))+IF(13=Assumptions!$C$12,$C$8*(1-Assumptions!$C$26),0)</x:f>
        <x:v>16.162706934199168</x:v>
      </x:c>
      <x:c r="Q37" s="7" t="n">
        <x:f aca="0">SUM(IF(14=MAX(1,ROUNDUP(Assumptions!$C$9/30,0)),C13*(1-Assumptions!$C$24),0),IF(13=MAX(1,ROUNDUP(Assumptions!$C$9/30,0)),D13*(1-Assumptions!$C$24),0),IF(12=MAX(1,ROUNDUP(Assumptions!$C$9/30,0)),E13*(1-Assumptions!$C$24),0),IF(11=MAX(1,ROUNDUP(Assumptions!$C$9/30,0)),F13*(1-Assumptions!$C$24),0),IF(10=MAX(1,ROUNDUP(Assumptions!$C$9/30,0)),G13*(1-Assumptions!$C$24),0),IF(9=MAX(1,ROUNDUP(Assumptions!$C$9/30,0)),H13*(1-Assumptions!$C$24),0),IF(8=MAX(1,ROUNDUP(Assumptions!$C$9/30,0)),I13*(1-Assumptions!$C$24),0),IF(7=MAX(1,ROUNDUP(Assumptions!$C$9/30,0)),J13*(1-Assumptions!$C$24),0),IF(6=MAX(1,ROUNDUP(Assumptions!$C$9/30,0)),K13*(1-Assumptions!$C$24),0),IF(5=MAX(1,ROUNDUP(Assumptions!$C$9/30,0)),L13*(1-Assumptions!$C$24),0),IF(4=MAX(1,ROUNDUP(Assumptions!$C$9/30,0)),M13*(1-Assumptions!$C$24),0),IF(3=MAX(1,ROUNDUP(Assumptions!$C$9/30,0)),N13*(1-Assumptions!$C$24),0),IF(2=MAX(1,ROUNDUP(Assumptions!$C$9/30,0)),O13*(1-Assumptions!$C$24),0),IF(1=MAX(1,ROUNDUP(Assumptions!$C$9/30,0)),P13*(1-Assumptions!$C$24),0),IF(0=MAX(1,ROUNDUP(Assumptions!$C$9/30,0)),Q13*(1-Assumptions!$C$24),0),IF(14=MAX(1,ROUNDUP(Assumptions!$C$9/30,0)),C12*(1-Assumptions!$C$25),0),IF(13=MAX(1,ROUNDUP(Assumptions!$C$9/30,0)),D12*(1-Assumptions!$C$25),0),IF(12=MAX(1,ROUNDUP(Assumptions!$C$9/30,0)),E12*(1-Assumptions!$C$25),0),IF(11=MAX(1,ROUNDUP(Assumptions!$C$9/30,0)),F12*(1-Assumptions!$C$25),0),IF(10=MAX(1,ROUNDUP(Assumptions!$C$9/30,0)),G12*(1-Assumptions!$C$25),0),IF(9=MAX(1,ROUNDUP(Assumptions!$C$9/30,0)),H12*(1-Assumptions!$C$25),0),IF(8=MAX(1,ROUNDUP(Assumptions!$C$9/30,0)),I12*(1-Assumptions!$C$25),0),IF(7=MAX(1,ROUNDUP(Assumptions!$C$9/30,0)),J12*(1-Assumptions!$C$25),0),IF(6=MAX(1,ROUNDUP(Assumptions!$C$9/30,0)),K12*(1-Assumptions!$C$25),0),IF(5=MAX(1,ROUNDUP(Assumptions!$C$9/30,0)),L12*(1-Assumptions!$C$25),0),IF(4=MAX(1,ROUNDUP(Assumptions!$C$9/30,0)),M12*(1-Assumptions!$C$25),0),IF(3=MAX(1,ROUNDUP(Assumptions!$C$9/30,0)),N12*(1-Assumptions!$C$25),0),IF(2=MAX(1,ROUNDUP(Assumptions!$C$9/30,0)),O12*(1-Assumptions!$C$25),0),IF(1=MAX(1,ROUNDUP(Assumptions!$C$9/30,0)),P12*(1-Assumptions!$C$25),0),IF(0=MAX(1,ROUNDUP(Assumptions!$C$9/30,0)),Q12*(1-Assumptions!$C$25),0))+IF(14=Assumptions!$C$12,$C$8*(1-Assumptions!$C$26),0)</x:f>
        <x:v>16.97084228090913</x:v>
      </x:c>
      <x:c r="R37" s="7" t="n">
        <x:f aca="0">SUM(IF(15=MAX(1,ROUNDUP(Assumptions!$C$9/30,0)),C13*(1-Assumptions!$C$24),0),IF(14=MAX(1,ROUNDUP(Assumptions!$C$9/30,0)),D13*(1-Assumptions!$C$24),0),IF(13=MAX(1,ROUNDUP(Assumptions!$C$9/30,0)),E13*(1-Assumptions!$C$24),0),IF(12=MAX(1,ROUNDUP(Assumptions!$C$9/30,0)),F13*(1-Assumptions!$C$24),0),IF(11=MAX(1,ROUNDUP(Assumptions!$C$9/30,0)),G13*(1-Assumptions!$C$24),0),IF(10=MAX(1,ROUNDUP(Assumptions!$C$9/30,0)),H13*(1-Assumptions!$C$24),0),IF(9=MAX(1,ROUNDUP(Assumptions!$C$9/30,0)),I13*(1-Assumptions!$C$24),0),IF(8=MAX(1,ROUNDUP(Assumptions!$C$9/30,0)),J13*(1-Assumptions!$C$24),0),IF(7=MAX(1,ROUNDUP(Assumptions!$C$9/30,0)),K13*(1-Assumptions!$C$24),0),IF(6=MAX(1,ROUNDUP(Assumptions!$C$9/30,0)),L13*(1-Assumptions!$C$24),0),IF(5=MAX(1,ROUNDUP(Assumptions!$C$9/30,0)),M13*(1-Assumptions!$C$24),0),IF(4=MAX(1,ROUNDUP(Assumptions!$C$9/30,0)),N13*(1-Assumptions!$C$24),0),IF(3=MAX(1,ROUNDUP(Assumptions!$C$9/30,0)),O13*(1-Assumptions!$C$24),0),IF(2=MAX(1,ROUNDUP(Assumptions!$C$9/30,0)),P13*(1-Assumptions!$C$24),0),IF(1=MAX(1,ROUNDUP(Assumptions!$C$9/30,0)),Q13*(1-Assumptions!$C$24),0),IF(0=MAX(1,ROUNDUP(Assumptions!$C$9/30,0)),R13*(1-Assumptions!$C$24),0),IF(15=MAX(1,ROUNDUP(Assumptions!$C$9/30,0)),C12*(1-Assumptions!$C$25),0),IF(14=MAX(1,ROUNDUP(Assumptions!$C$9/30,0)),D12*(1-Assumptions!$C$25),0),IF(13=MAX(1,ROUNDUP(Assumptions!$C$9/30,0)),E12*(1-Assumptions!$C$25),0),IF(12=MAX(1,ROUNDUP(Assumptions!$C$9/30,0)),F12*(1-Assumptions!$C$25),0),IF(11=MAX(1,ROUNDUP(Assumptions!$C$9/30,0)),G12*(1-Assumptions!$C$25),0),IF(10=MAX(1,ROUNDUP(Assumptions!$C$9/30,0)),H12*(1-Assumptions!$C$25),0),IF(9=MAX(1,ROUNDUP(Assumptions!$C$9/30,0)),I12*(1-Assumptions!$C$25),0),IF(8=MAX(1,ROUNDUP(Assumptions!$C$9/30,0)),J12*(1-Assumptions!$C$25),0),IF(7=MAX(1,ROUNDUP(Assumptions!$C$9/30,0)),K12*(1-Assumptions!$C$25),0),IF(6=MAX(1,ROUNDUP(Assumptions!$C$9/30,0)),L12*(1-Assumptions!$C$25),0),IF(5=MAX(1,ROUNDUP(Assumptions!$C$9/30,0)),M12*(1-Assumptions!$C$25),0),IF(4=MAX(1,ROUNDUP(Assumptions!$C$9/30,0)),N12*(1-Assumptions!$C$25),0),IF(3=MAX(1,ROUNDUP(Assumptions!$C$9/30,0)),O12*(1-Assumptions!$C$25),0),IF(2=MAX(1,ROUNDUP(Assumptions!$C$9/30,0)),P12*(1-Assumptions!$C$25),0),IF(1=MAX(1,ROUNDUP(Assumptions!$C$9/30,0)),Q12*(1-Assumptions!$C$25),0),IF(0=MAX(1,ROUNDUP(Assumptions!$C$9/30,0)),R12*(1-Assumptions!$C$25),0))+IF(15=Assumptions!$C$12,$C$8*(1-Assumptions!$C$26),0)</x:f>
        <x:v>17.819384394954586</x:v>
      </x:c>
      <x:c r="S37" s="7" t="n">
        <x:f aca="0">SUM(IF(16=MAX(1,ROUNDUP(Assumptions!$C$9/30,0)),C13*(1-Assumptions!$C$24),0),IF(15=MAX(1,ROUNDUP(Assumptions!$C$9/30,0)),D13*(1-Assumptions!$C$24),0),IF(14=MAX(1,ROUNDUP(Assumptions!$C$9/30,0)),E13*(1-Assumptions!$C$24),0),IF(13=MAX(1,ROUNDUP(Assumptions!$C$9/30,0)),F13*(1-Assumptions!$C$24),0),IF(12=MAX(1,ROUNDUP(Assumptions!$C$9/30,0)),G13*(1-Assumptions!$C$24),0),IF(11=MAX(1,ROUNDUP(Assumptions!$C$9/30,0)),H13*(1-Assumptions!$C$24),0),IF(10=MAX(1,ROUNDUP(Assumptions!$C$9/30,0)),I13*(1-Assumptions!$C$24),0),IF(9=MAX(1,ROUNDUP(Assumptions!$C$9/30,0)),J13*(1-Assumptions!$C$24),0),IF(8=MAX(1,ROUNDUP(Assumptions!$C$9/30,0)),K13*(1-Assumptions!$C$24),0),IF(7=MAX(1,ROUNDUP(Assumptions!$C$9/30,0)),L13*(1-Assumptions!$C$24),0),IF(6=MAX(1,ROUNDUP(Assumptions!$C$9/30,0)),M13*(1-Assumptions!$C$24),0),IF(5=MAX(1,ROUNDUP(Assumptions!$C$9/30,0)),N13*(1-Assumptions!$C$24),0),IF(4=MAX(1,ROUNDUP(Assumptions!$C$9/30,0)),O13*(1-Assumptions!$C$24),0),IF(3=MAX(1,ROUNDUP(Assumptions!$C$9/30,0)),P13*(1-Assumptions!$C$24),0),IF(2=MAX(1,ROUNDUP(Assumptions!$C$9/30,0)),Q13*(1-Assumptions!$C$24),0),IF(1=MAX(1,ROUNDUP(Assumptions!$C$9/30,0)),R13*(1-Assumptions!$C$24),0),IF(0=MAX(1,ROUNDUP(Assumptions!$C$9/30,0)),S13*(1-Assumptions!$C$24),0),IF(16=MAX(1,ROUNDUP(Assumptions!$C$9/30,0)),C12*(1-Assumptions!$C$25),0),IF(15=MAX(1,ROUNDUP(Assumptions!$C$9/30,0)),D12*(1-Assumptions!$C$25),0),IF(14=MAX(1,ROUNDUP(Assumptions!$C$9/30,0)),E12*(1-Assumptions!$C$25),0),IF(13=MAX(1,ROUNDUP(Assumptions!$C$9/30,0)),F12*(1-Assumptions!$C$25),0),IF(12=MAX(1,ROUNDUP(Assumptions!$C$9/30,0)),G12*(1-Assumptions!$C$25),0),IF(11=MAX(1,ROUNDUP(Assumptions!$C$9/30,0)),H12*(1-Assumptions!$C$25),0),IF(10=MAX(1,ROUNDUP(Assumptions!$C$9/30,0)),I12*(1-Assumptions!$C$25),0),IF(9=MAX(1,ROUNDUP(Assumptions!$C$9/30,0)),J12*(1-Assumptions!$C$25),0),IF(8=MAX(1,ROUNDUP(Assumptions!$C$9/30,0)),K12*(1-Assumptions!$C$25),0),IF(7=MAX(1,ROUNDUP(Assumptions!$C$9/30,0)),L12*(1-Assumptions!$C$25),0),IF(6=MAX(1,ROUNDUP(Assumptions!$C$9/30,0)),M12*(1-Assumptions!$C$25),0),IF(5=MAX(1,ROUNDUP(Assumptions!$C$9/30,0)),N12*(1-Assumptions!$C$25),0),IF(4=MAX(1,ROUNDUP(Assumptions!$C$9/30,0)),O12*(1-Assumptions!$C$25),0),IF(3=MAX(1,ROUNDUP(Assumptions!$C$9/30,0)),P12*(1-Assumptions!$C$25),0),IF(2=MAX(1,ROUNDUP(Assumptions!$C$9/30,0)),Q12*(1-Assumptions!$C$25),0),IF(1=MAX(1,ROUNDUP(Assumptions!$C$9/30,0)),R12*(1-Assumptions!$C$25),0),IF(0=MAX(1,ROUNDUP(Assumptions!$C$9/30,0)),S12*(1-Assumptions!$C$25),0))+IF(16=Assumptions!$C$12,$C$8*(1-Assumptions!$C$26),0)</x:f>
        <x:v>18.71035361470232</x:v>
      </x:c>
      <x:c r="T37" s="7" t="n">
        <x:f aca="0">SUM(IF(17=MAX(1,ROUNDUP(Assumptions!$C$9/30,0)),C13*(1-Assumptions!$C$24),0),IF(16=MAX(1,ROUNDUP(Assumptions!$C$9/30,0)),D13*(1-Assumptions!$C$24),0),IF(15=MAX(1,ROUNDUP(Assumptions!$C$9/30,0)),E13*(1-Assumptions!$C$24),0),IF(14=MAX(1,ROUNDUP(Assumptions!$C$9/30,0)),F13*(1-Assumptions!$C$24),0),IF(13=MAX(1,ROUNDUP(Assumptions!$C$9/30,0)),G13*(1-Assumptions!$C$24),0),IF(12=MAX(1,ROUNDUP(Assumptions!$C$9/30,0)),H13*(1-Assumptions!$C$24),0),IF(11=MAX(1,ROUNDUP(Assumptions!$C$9/30,0)),I13*(1-Assumptions!$C$24),0),IF(10=MAX(1,ROUNDUP(Assumptions!$C$9/30,0)),J13*(1-Assumptions!$C$24),0),IF(9=MAX(1,ROUNDUP(Assumptions!$C$9/30,0)),K13*(1-Assumptions!$C$24),0),IF(8=MAX(1,ROUNDUP(Assumptions!$C$9/30,0)),L13*(1-Assumptions!$C$24),0),IF(7=MAX(1,ROUNDUP(Assumptions!$C$9/30,0)),M13*(1-Assumptions!$C$24),0),IF(6=MAX(1,ROUNDUP(Assumptions!$C$9/30,0)),N13*(1-Assumptions!$C$24),0),IF(5=MAX(1,ROUNDUP(Assumptions!$C$9/30,0)),O13*(1-Assumptions!$C$24),0),IF(4=MAX(1,ROUNDUP(Assumptions!$C$9/30,0)),P13*(1-Assumptions!$C$24),0),IF(3=MAX(1,ROUNDUP(Assumptions!$C$9/30,0)),Q13*(1-Assumptions!$C$24),0),IF(2=MAX(1,ROUNDUP(Assumptions!$C$9/30,0)),R13*(1-Assumptions!$C$24),0),IF(1=MAX(1,ROUNDUP(Assumptions!$C$9/30,0)),S13*(1-Assumptions!$C$24),0),IF(0=MAX(1,ROUNDUP(Assumptions!$C$9/30,0)),T13*(1-Assumptions!$C$24),0),IF(17=MAX(1,ROUNDUP(Assumptions!$C$9/30,0)),C12*(1-Assumptions!$C$25),0),IF(16=MAX(1,ROUNDUP(Assumptions!$C$9/30,0)),D12*(1-Assumptions!$C$25),0),IF(15=MAX(1,ROUNDUP(Assumptions!$C$9/30,0)),E12*(1-Assumptions!$C$25),0),IF(14=MAX(1,ROUNDUP(Assumptions!$C$9/30,0)),F12*(1-Assumptions!$C$25),0),IF(13=MAX(1,ROUNDUP(Assumptions!$C$9/30,0)),G12*(1-Assumptions!$C$25),0),IF(12=MAX(1,ROUNDUP(Assumptions!$C$9/30,0)),H12*(1-Assumptions!$C$25),0),IF(11=MAX(1,ROUNDUP(Assumptions!$C$9/30,0)),I12*(1-Assumptions!$C$25),0),IF(10=MAX(1,ROUNDUP(Assumptions!$C$9/30,0)),J12*(1-Assumptions!$C$25),0),IF(9=MAX(1,ROUNDUP(Assumptions!$C$9/30,0)),K12*(1-Assumptions!$C$25),0),IF(8=MAX(1,ROUNDUP(Assumptions!$C$9/30,0)),L12*(1-Assumptions!$C$25),0),IF(7=MAX(1,ROUNDUP(Assumptions!$C$9/30,0)),M12*(1-Assumptions!$C$25),0),IF(6=MAX(1,ROUNDUP(Assumptions!$C$9/30,0)),N12*(1-Assumptions!$C$25),0),IF(5=MAX(1,ROUNDUP(Assumptions!$C$9/30,0)),O12*(1-Assumptions!$C$25),0),IF(4=MAX(1,ROUNDUP(Assumptions!$C$9/30,0)),P12*(1-Assumptions!$C$25),0),IF(3=MAX(1,ROUNDUP(Assumptions!$C$9/30,0)),Q12*(1-Assumptions!$C$25),0),IF(2=MAX(1,ROUNDUP(Assumptions!$C$9/30,0)),R12*(1-Assumptions!$C$25),0),IF(1=MAX(1,ROUNDUP(Assumptions!$C$9/30,0)),S12*(1-Assumptions!$C$25),0),IF(0=MAX(1,ROUNDUP(Assumptions!$C$9/30,0)),T12*(1-Assumptions!$C$25),0))+IF(17=Assumptions!$C$12,$C$8*(1-Assumptions!$C$26),0)</x:f>
        <x:v>19.64587129543743</x:v>
      </x:c>
      <x:c r="U37" s="7" t="n">
        <x:f aca="0">SUM(IF(18=MAX(1,ROUNDUP(Assumptions!$C$9/30,0)),C13*(1-Assumptions!$C$24),0),IF(17=MAX(1,ROUNDUP(Assumptions!$C$9/30,0)),D13*(1-Assumptions!$C$24),0),IF(16=MAX(1,ROUNDUP(Assumptions!$C$9/30,0)),E13*(1-Assumptions!$C$24),0),IF(15=MAX(1,ROUNDUP(Assumptions!$C$9/30,0)),F13*(1-Assumptions!$C$24),0),IF(14=MAX(1,ROUNDUP(Assumptions!$C$9/30,0)),G13*(1-Assumptions!$C$24),0),IF(13=MAX(1,ROUNDUP(Assumptions!$C$9/30,0)),H13*(1-Assumptions!$C$24),0),IF(12=MAX(1,ROUNDUP(Assumptions!$C$9/30,0)),I13*(1-Assumptions!$C$24),0),IF(11=MAX(1,ROUNDUP(Assumptions!$C$9/30,0)),J13*(1-Assumptions!$C$24),0),IF(10=MAX(1,ROUNDUP(Assumptions!$C$9/30,0)),K13*(1-Assumptions!$C$24),0),IF(9=MAX(1,ROUNDUP(Assumptions!$C$9/30,0)),L13*(1-Assumptions!$C$24),0),IF(8=MAX(1,ROUNDUP(Assumptions!$C$9/30,0)),M13*(1-Assumptions!$C$24),0),IF(7=MAX(1,ROUNDUP(Assumptions!$C$9/30,0)),N13*(1-Assumptions!$C$24),0),IF(6=MAX(1,ROUNDUP(Assumptions!$C$9/30,0)),O13*(1-Assumptions!$C$24),0),IF(5=MAX(1,ROUNDUP(Assumptions!$C$9/30,0)),P13*(1-Assumptions!$C$24),0),IF(4=MAX(1,ROUNDUP(Assumptions!$C$9/30,0)),Q13*(1-Assumptions!$C$24),0),IF(3=MAX(1,ROUNDUP(Assumptions!$C$9/30,0)),R13*(1-Assumptions!$C$24),0),IF(2=MAX(1,ROUNDUP(Assumptions!$C$9/30,0)),S13*(1-Assumptions!$C$24),0),IF(1=MAX(1,ROUNDUP(Assumptions!$C$9/30,0)),T13*(1-Assumptions!$C$24),0),IF(0=MAX(1,ROUNDUP(Assumptions!$C$9/30,0)),U13*(1-Assumptions!$C$24),0),IF(18=MAX(1,ROUNDUP(Assumptions!$C$9/30,0)),C12*(1-Assumptions!$C$25),0),IF(17=MAX(1,ROUNDUP(Assumptions!$C$9/30,0)),D12*(1-Assumptions!$C$25),0),IF(16=MAX(1,ROUNDUP(Assumptions!$C$9/30,0)),E12*(1-Assumptions!$C$25),0),IF(15=MAX(1,ROUNDUP(Assumptions!$C$9/30,0)),F12*(1-Assumptions!$C$25),0),IF(14=MAX(1,ROUNDUP(Assumptions!$C$9/30,0)),G12*(1-Assumptions!$C$25),0),IF(13=MAX(1,ROUNDUP(Assumptions!$C$9/30,0)),H12*(1-Assumptions!$C$25),0),IF(12=MAX(1,ROUNDUP(Assumptions!$C$9/30,0)),I12*(1-Assumptions!$C$25),0),IF(11=MAX(1,ROUNDUP(Assumptions!$C$9/30,0)),J12*(1-Assumptions!$C$25),0),IF(10=MAX(1,ROUNDUP(Assumptions!$C$9/30,0)),K12*(1-Assumptions!$C$25),0),IF(9=MAX(1,ROUNDUP(Assumptions!$C$9/30,0)),L12*(1-Assumptions!$C$25),0),IF(8=MAX(1,ROUNDUP(Assumptions!$C$9/30,0)),M12*(1-Assumptions!$C$25),0),IF(7=MAX(1,ROUNDUP(Assumptions!$C$9/30,0)),N12*(1-Assumptions!$C$25),0),IF(6=MAX(1,ROUNDUP(Assumptions!$C$9/30,0)),O12*(1-Assumptions!$C$25),0),IF(5=MAX(1,ROUNDUP(Assumptions!$C$9/30,0)),P12*(1-Assumptions!$C$25),0),IF(4=MAX(1,ROUNDUP(Assumptions!$C$9/30,0)),Q12*(1-Assumptions!$C$25),0),IF(3=MAX(1,ROUNDUP(Assumptions!$C$9/30,0)),R12*(1-Assumptions!$C$25),0),IF(2=MAX(1,ROUNDUP(Assumptions!$C$9/30,0)),S12*(1-Assumptions!$C$25),0),IF(1=MAX(1,ROUNDUP(Assumptions!$C$9/30,0)),T12*(1-Assumptions!$C$25),0),IF(0=MAX(1,ROUNDUP(Assumptions!$C$9/30,0)),U12*(1-Assumptions!$C$25),0))+IF(18=Assumptions!$C$12,$C$8*(1-Assumptions!$C$26),0)</x:f>
        <x:v>20.628164860209306</x:v>
      </x:c>
      <x:c r="V37" s="7" t="n">
        <x:f aca="0">SUM(IF(19=MAX(1,ROUNDUP(Assumptions!$C$9/30,0)),C13*(1-Assumptions!$C$24),0),IF(18=MAX(1,ROUNDUP(Assumptions!$C$9/30,0)),D13*(1-Assumptions!$C$24),0),IF(17=MAX(1,ROUNDUP(Assumptions!$C$9/30,0)),E13*(1-Assumptions!$C$24),0),IF(16=MAX(1,ROUNDUP(Assumptions!$C$9/30,0)),F13*(1-Assumptions!$C$24),0),IF(15=MAX(1,ROUNDUP(Assumptions!$C$9/30,0)),G13*(1-Assumptions!$C$24),0),IF(14=MAX(1,ROUNDUP(Assumptions!$C$9/30,0)),H13*(1-Assumptions!$C$24),0),IF(13=MAX(1,ROUNDUP(Assumptions!$C$9/30,0)),I13*(1-Assumptions!$C$24),0),IF(12=MAX(1,ROUNDUP(Assumptions!$C$9/30,0)),J13*(1-Assumptions!$C$24),0),IF(11=MAX(1,ROUNDUP(Assumptions!$C$9/30,0)),K13*(1-Assumptions!$C$24),0),IF(10=MAX(1,ROUNDUP(Assumptions!$C$9/30,0)),L13*(1-Assumptions!$C$24),0),IF(9=MAX(1,ROUNDUP(Assumptions!$C$9/30,0)),M13*(1-Assumptions!$C$24),0),IF(8=MAX(1,ROUNDUP(Assumptions!$C$9/30,0)),N13*(1-Assumptions!$C$24),0),IF(7=MAX(1,ROUNDUP(Assumptions!$C$9/30,0)),O13*(1-Assumptions!$C$24),0),IF(6=MAX(1,ROUNDUP(Assumptions!$C$9/30,0)),P13*(1-Assumptions!$C$24),0),IF(5=MAX(1,ROUNDUP(Assumptions!$C$9/30,0)),Q13*(1-Assumptions!$C$24),0),IF(4=MAX(1,ROUNDUP(Assumptions!$C$9/30,0)),R13*(1-Assumptions!$C$24),0),IF(3=MAX(1,ROUNDUP(Assumptions!$C$9/30,0)),S13*(1-Assumptions!$C$24),0),IF(2=MAX(1,ROUNDUP(Assumptions!$C$9/30,0)),T13*(1-Assumptions!$C$24),0),IF(1=MAX(1,ROUNDUP(Assumptions!$C$9/30,0)),U13*(1-Assumptions!$C$24),0),IF(0=MAX(1,ROUNDUP(Assumptions!$C$9/30,0)),V13*(1-Assumptions!$C$24),0),IF(19=MAX(1,ROUNDUP(Assumptions!$C$9/30,0)),C12*(1-Assumptions!$C$25),0),IF(18=MAX(1,ROUNDUP(Assumptions!$C$9/30,0)),D12*(1-Assumptions!$C$25),0),IF(17=MAX(1,ROUNDUP(Assumptions!$C$9/30,0)),E12*(1-Assumptions!$C$25),0),IF(16=MAX(1,ROUNDUP(Assumptions!$C$9/30,0)),F12*(1-Assumptions!$C$25),0),IF(15=MAX(1,ROUNDUP(Assumptions!$C$9/30,0)),G12*(1-Assumptions!$C$25),0),IF(14=MAX(1,ROUNDUP(Assumptions!$C$9/30,0)),H12*(1-Assumptions!$C$25),0),IF(13=MAX(1,ROUNDUP(Assumptions!$C$9/30,0)),I12*(1-Assumptions!$C$25),0),IF(12=MAX(1,ROUNDUP(Assumptions!$C$9/30,0)),J12*(1-Assumptions!$C$25),0),IF(11=MAX(1,ROUNDUP(Assumptions!$C$9/30,0)),K12*(1-Assumptions!$C$25),0),IF(10=MAX(1,ROUNDUP(Assumptions!$C$9/30,0)),L12*(1-Assumptions!$C$25),0),IF(9=MAX(1,ROUNDUP(Assumptions!$C$9/30,0)),M12*(1-Assumptions!$C$25),0),IF(8=MAX(1,ROUNDUP(Assumptions!$C$9/30,0)),N12*(1-Assumptions!$C$25),0),IF(7=MAX(1,ROUNDUP(Assumptions!$C$9/30,0)),O12*(1-Assumptions!$C$25),0),IF(6=MAX(1,ROUNDUP(Assumptions!$C$9/30,0)),P12*(1-Assumptions!$C$25),0),IF(5=MAX(1,ROUNDUP(Assumptions!$C$9/30,0)),Q12*(1-Assumptions!$C$25),0),IF(4=MAX(1,ROUNDUP(Assumptions!$C$9/30,0)),R12*(1-Assumptions!$C$25),0),IF(3=MAX(1,ROUNDUP(Assumptions!$C$9/30,0)),S12*(1-Assumptions!$C$25),0),IF(2=MAX(1,ROUNDUP(Assumptions!$C$9/30,0)),T12*(1-Assumptions!$C$25),0),IF(1=MAX(1,ROUNDUP(Assumptions!$C$9/30,0)),U12*(1-Assumptions!$C$25),0),IF(0=MAX(1,ROUNDUP(Assumptions!$C$9/30,0)),V12*(1-Assumptions!$C$25),0))+IF(19=Assumptions!$C$12,$C$8*(1-Assumptions!$C$26),0)</x:f>
        <x:v>21.65957310321977</x:v>
      </x:c>
      <x:c r="W37" s="7" t="n">
        <x:f aca="0">SUM(IF(20=MAX(1,ROUNDUP(Assumptions!$C$9/30,0)),C13*(1-Assumptions!$C$24),0),IF(19=MAX(1,ROUNDUP(Assumptions!$C$9/30,0)),D13*(1-Assumptions!$C$24),0),IF(18=MAX(1,ROUNDUP(Assumptions!$C$9/30,0)),E13*(1-Assumptions!$C$24),0),IF(17=MAX(1,ROUNDUP(Assumptions!$C$9/30,0)),F13*(1-Assumptions!$C$24),0),IF(16=MAX(1,ROUNDUP(Assumptions!$C$9/30,0)),G13*(1-Assumptions!$C$24),0),IF(15=MAX(1,ROUNDUP(Assumptions!$C$9/30,0)),H13*(1-Assumptions!$C$24),0),IF(14=MAX(1,ROUNDUP(Assumptions!$C$9/30,0)),I13*(1-Assumptions!$C$24),0),IF(13=MAX(1,ROUNDUP(Assumptions!$C$9/30,0)),J13*(1-Assumptions!$C$24),0),IF(12=MAX(1,ROUNDUP(Assumptions!$C$9/30,0)),K13*(1-Assumptions!$C$24),0),IF(11=MAX(1,ROUNDUP(Assumptions!$C$9/30,0)),L13*(1-Assumptions!$C$24),0),IF(10=MAX(1,ROUNDUP(Assumptions!$C$9/30,0)),M13*(1-Assumptions!$C$24),0),IF(9=MAX(1,ROUNDUP(Assumptions!$C$9/30,0)),N13*(1-Assumptions!$C$24),0),IF(8=MAX(1,ROUNDUP(Assumptions!$C$9/30,0)),O13*(1-Assumptions!$C$24),0),IF(7=MAX(1,ROUNDUP(Assumptions!$C$9/30,0)),P13*(1-Assumptions!$C$24),0),IF(6=MAX(1,ROUNDUP(Assumptions!$C$9/30,0)),Q13*(1-Assumptions!$C$24),0),IF(5=MAX(1,ROUNDUP(Assumptions!$C$9/30,0)),R13*(1-Assumptions!$C$24),0),IF(4=MAX(1,ROUNDUP(Assumptions!$C$9/30,0)),S13*(1-Assumptions!$C$24),0),IF(3=MAX(1,ROUNDUP(Assumptions!$C$9/30,0)),T13*(1-Assumptions!$C$24),0),IF(2=MAX(1,ROUNDUP(Assumptions!$C$9/30,0)),U13*(1-Assumptions!$C$24),0),IF(1=MAX(1,ROUNDUP(Assumptions!$C$9/30,0)),V13*(1-Assumptions!$C$24),0),IF(0=MAX(1,ROUNDUP(Assumptions!$C$9/30,0)),W13*(1-Assumptions!$C$24),0),IF(20=MAX(1,ROUNDUP(Assumptions!$C$9/30,0)),C12*(1-Assumptions!$C$25),0),IF(19=MAX(1,ROUNDUP(Assumptions!$C$9/30,0)),D12*(1-Assumptions!$C$25),0),IF(18=MAX(1,ROUNDUP(Assumptions!$C$9/30,0)),E12*(1-Assumptions!$C$25),0),IF(17=MAX(1,ROUNDUP(Assumptions!$C$9/30,0)),F12*(1-Assumptions!$C$25),0),IF(16=MAX(1,ROUNDUP(Assumptions!$C$9/30,0)),G12*(1-Assumptions!$C$25),0),IF(15=MAX(1,ROUNDUP(Assumptions!$C$9/30,0)),H12*(1-Assumptions!$C$25),0),IF(14=MAX(1,ROUNDUP(Assumptions!$C$9/30,0)),I12*(1-Assumptions!$C$25),0),IF(13=MAX(1,ROUNDUP(Assumptions!$C$9/30,0)),J12*(1-Assumptions!$C$25),0),IF(12=MAX(1,ROUNDUP(Assumptions!$C$9/30,0)),K12*(1-Assumptions!$C$25),0),IF(11=MAX(1,ROUNDUP(Assumptions!$C$9/30,0)),L12*(1-Assumptions!$C$25),0),IF(10=MAX(1,ROUNDUP(Assumptions!$C$9/30,0)),M12*(1-Assumptions!$C$25),0),IF(9=MAX(1,ROUNDUP(Assumptions!$C$9/30,0)),N12*(1-Assumptions!$C$25),0),IF(8=MAX(1,ROUNDUP(Assumptions!$C$9/30,0)),O12*(1-Assumptions!$C$25),0),IF(7=MAX(1,ROUNDUP(Assumptions!$C$9/30,0)),P12*(1-Assumptions!$C$25),0),IF(6=MAX(1,ROUNDUP(Assumptions!$C$9/30,0)),Q12*(1-Assumptions!$C$25),0),IF(5=MAX(1,ROUNDUP(Assumptions!$C$9/30,0)),R12*(1-Assumptions!$C$25),0),IF(4=MAX(1,ROUNDUP(Assumptions!$C$9/30,0)),S12*(1-Assumptions!$C$25),0),IF(3=MAX(1,ROUNDUP(Assumptions!$C$9/30,0)),T12*(1-Assumptions!$C$25),0),IF(2=MAX(1,ROUNDUP(Assumptions!$C$9/30,0)),U12*(1-Assumptions!$C$25),0),IF(1=MAX(1,ROUNDUP(Assumptions!$C$9/30,0)),V12*(1-Assumptions!$C$25),0),IF(0=MAX(1,ROUNDUP(Assumptions!$C$9/30,0)),W12*(1-Assumptions!$C$25),0))+IF(20=Assumptions!$C$12,$C$8*(1-Assumptions!$C$26),0)</x:f>
        <x:v>22.742551758380763</x:v>
      </x:c>
      <x:c r="X37" s="7" t="n">
        <x:f aca="0">SUM(IF(21=MAX(1,ROUNDUP(Assumptions!$C$9/30,0)),C13*(1-Assumptions!$C$24),0),IF(20=MAX(1,ROUNDUP(Assumptions!$C$9/30,0)),D13*(1-Assumptions!$C$24),0),IF(19=MAX(1,ROUNDUP(Assumptions!$C$9/30,0)),E13*(1-Assumptions!$C$24),0),IF(18=MAX(1,ROUNDUP(Assumptions!$C$9/30,0)),F13*(1-Assumptions!$C$24),0),IF(17=MAX(1,ROUNDUP(Assumptions!$C$9/30,0)),G13*(1-Assumptions!$C$24),0),IF(16=MAX(1,ROUNDUP(Assumptions!$C$9/30,0)),H13*(1-Assumptions!$C$24),0),IF(15=MAX(1,ROUNDUP(Assumptions!$C$9/30,0)),I13*(1-Assumptions!$C$24),0),IF(14=MAX(1,ROUNDUP(Assumptions!$C$9/30,0)),J13*(1-Assumptions!$C$24),0),IF(13=MAX(1,ROUNDUP(Assumptions!$C$9/30,0)),K13*(1-Assumptions!$C$24),0),IF(12=MAX(1,ROUNDUP(Assumptions!$C$9/30,0)),L13*(1-Assumptions!$C$24),0),IF(11=MAX(1,ROUNDUP(Assumptions!$C$9/30,0)),M13*(1-Assumptions!$C$24),0),IF(10=MAX(1,ROUNDUP(Assumptions!$C$9/30,0)),N13*(1-Assumptions!$C$24),0),IF(9=MAX(1,ROUNDUP(Assumptions!$C$9/30,0)),O13*(1-Assumptions!$C$24),0),IF(8=MAX(1,ROUNDUP(Assumptions!$C$9/30,0)),P13*(1-Assumptions!$C$24),0),IF(7=MAX(1,ROUNDUP(Assumptions!$C$9/30,0)),Q13*(1-Assumptions!$C$24),0),IF(6=MAX(1,ROUNDUP(Assumptions!$C$9/30,0)),R13*(1-Assumptions!$C$24),0),IF(5=MAX(1,ROUNDUP(Assumptions!$C$9/30,0)),S13*(1-Assumptions!$C$24),0),IF(4=MAX(1,ROUNDUP(Assumptions!$C$9/30,0)),T13*(1-Assumptions!$C$24),0),IF(3=MAX(1,ROUNDUP(Assumptions!$C$9/30,0)),U13*(1-Assumptions!$C$24),0),IF(2=MAX(1,ROUNDUP(Assumptions!$C$9/30,0)),V13*(1-Assumptions!$C$24),0),IF(1=MAX(1,ROUNDUP(Assumptions!$C$9/30,0)),W13*(1-Assumptions!$C$24),0),IF(0=MAX(1,ROUNDUP(Assumptions!$C$9/30,0)),X13*(1-Assumptions!$C$24),0),IF(21=MAX(1,ROUNDUP(Assumptions!$C$9/30,0)),C12*(1-Assumptions!$C$25),0),IF(20=MAX(1,ROUNDUP(Assumptions!$C$9/30,0)),D12*(1-Assumptions!$C$25),0),IF(19=MAX(1,ROUNDUP(Assumptions!$C$9/30,0)),E12*(1-Assumptions!$C$25),0),IF(18=MAX(1,ROUNDUP(Assumptions!$C$9/30,0)),F12*(1-Assumptions!$C$25),0),IF(17=MAX(1,ROUNDUP(Assumptions!$C$9/30,0)),G12*(1-Assumptions!$C$25),0),IF(16=MAX(1,ROUNDUP(Assumptions!$C$9/30,0)),H12*(1-Assumptions!$C$25),0),IF(15=MAX(1,ROUNDUP(Assumptions!$C$9/30,0)),I12*(1-Assumptions!$C$25),0),IF(14=MAX(1,ROUNDUP(Assumptions!$C$9/30,0)),J12*(1-Assumptions!$C$25),0),IF(13=MAX(1,ROUNDUP(Assumptions!$C$9/30,0)),K12*(1-Assumptions!$C$25),0),IF(12=MAX(1,ROUNDUP(Assumptions!$C$9/30,0)),L12*(1-Assumptions!$C$25),0),IF(11=MAX(1,ROUNDUP(Assumptions!$C$9/30,0)),M12*(1-Assumptions!$C$25),0),IF(10=MAX(1,ROUNDUP(Assumptions!$C$9/30,0)),N12*(1-Assumptions!$C$25),0),IF(9=MAX(1,ROUNDUP(Assumptions!$C$9/30,0)),O12*(1-Assumptions!$C$25),0),IF(8=MAX(1,ROUNDUP(Assumptions!$C$9/30,0)),P12*(1-Assumptions!$C$25),0),IF(7=MAX(1,ROUNDUP(Assumptions!$C$9/30,0)),Q12*(1-Assumptions!$C$25),0),IF(6=MAX(1,ROUNDUP(Assumptions!$C$9/30,0)),R12*(1-Assumptions!$C$25),0),IF(5=MAX(1,ROUNDUP(Assumptions!$C$9/30,0)),S12*(1-Assumptions!$C$25),0),IF(4=MAX(1,ROUNDUP(Assumptions!$C$9/30,0)),T12*(1-Assumptions!$C$25),0),IF(3=MAX(1,ROUNDUP(Assumptions!$C$9/30,0)),U12*(1-Assumptions!$C$25),0),IF(2=MAX(1,ROUNDUP(Assumptions!$C$9/30,0)),V12*(1-Assumptions!$C$25),0),IF(1=MAX(1,ROUNDUP(Assumptions!$C$9/30,0)),W12*(1-Assumptions!$C$25),0),IF(0=MAX(1,ROUNDUP(Assumptions!$C$9/30,0)),X12*(1-Assumptions!$C$25),0))+IF(21=Assumptions!$C$12,$C$8*(1-Assumptions!$C$26),0)</x:f>
        <x:v>23.879679346299795</x:v>
      </x:c>
      <x:c r="Y37" s="7" t="n">
        <x:f aca="0">SUM(IF(22=MAX(1,ROUNDUP(Assumptions!$C$9/30,0)),C13*(1-Assumptions!$C$24),0),IF(21=MAX(1,ROUNDUP(Assumptions!$C$9/30,0)),D13*(1-Assumptions!$C$24),0),IF(20=MAX(1,ROUNDUP(Assumptions!$C$9/30,0)),E13*(1-Assumptions!$C$24),0),IF(19=MAX(1,ROUNDUP(Assumptions!$C$9/30,0)),F13*(1-Assumptions!$C$24),0),IF(18=MAX(1,ROUNDUP(Assumptions!$C$9/30,0)),G13*(1-Assumptions!$C$24),0),IF(17=MAX(1,ROUNDUP(Assumptions!$C$9/30,0)),H13*(1-Assumptions!$C$24),0),IF(16=MAX(1,ROUNDUP(Assumptions!$C$9/30,0)),I13*(1-Assumptions!$C$24),0),IF(15=MAX(1,ROUNDUP(Assumptions!$C$9/30,0)),J13*(1-Assumptions!$C$24),0),IF(14=MAX(1,ROUNDUP(Assumptions!$C$9/30,0)),K13*(1-Assumptions!$C$24),0),IF(13=MAX(1,ROUNDUP(Assumptions!$C$9/30,0)),L13*(1-Assumptions!$C$24),0),IF(12=MAX(1,ROUNDUP(Assumptions!$C$9/30,0)),M13*(1-Assumptions!$C$24),0),IF(11=MAX(1,ROUNDUP(Assumptions!$C$9/30,0)),N13*(1-Assumptions!$C$24),0),IF(10=MAX(1,ROUNDUP(Assumptions!$C$9/30,0)),O13*(1-Assumptions!$C$24),0),IF(9=MAX(1,ROUNDUP(Assumptions!$C$9/30,0)),P13*(1-Assumptions!$C$24),0),IF(8=MAX(1,ROUNDUP(Assumptions!$C$9/30,0)),Q13*(1-Assumptions!$C$24),0),IF(7=MAX(1,ROUNDUP(Assumptions!$C$9/30,0)),R13*(1-Assumptions!$C$24),0),IF(6=MAX(1,ROUNDUP(Assumptions!$C$9/30,0)),S13*(1-Assumptions!$C$24),0),IF(5=MAX(1,ROUNDUP(Assumptions!$C$9/30,0)),T13*(1-Assumptions!$C$24),0),IF(4=MAX(1,ROUNDUP(Assumptions!$C$9/30,0)),U13*(1-Assumptions!$C$24),0),IF(3=MAX(1,ROUNDUP(Assumptions!$C$9/30,0)),V13*(1-Assumptions!$C$24),0),IF(2=MAX(1,ROUNDUP(Assumptions!$C$9/30,0)),W13*(1-Assumptions!$C$24),0),IF(1=MAX(1,ROUNDUP(Assumptions!$C$9/30,0)),X13*(1-Assumptions!$C$24),0),IF(0=MAX(1,ROUNDUP(Assumptions!$C$9/30,0)),Y13*(1-Assumptions!$C$24),0),IF(22=MAX(1,ROUNDUP(Assumptions!$C$9/30,0)),C12*(1-Assumptions!$C$25),0),IF(21=MAX(1,ROUNDUP(Assumptions!$C$9/30,0)),D12*(1-Assumptions!$C$25),0),IF(20=MAX(1,ROUNDUP(Assumptions!$C$9/30,0)),E12*(1-Assumptions!$C$25),0),IF(19=MAX(1,ROUNDUP(Assumptions!$C$9/30,0)),F12*(1-Assumptions!$C$25),0),IF(18=MAX(1,ROUNDUP(Assumptions!$C$9/30,0)),G12*(1-Assumptions!$C$25),0),IF(17=MAX(1,ROUNDUP(Assumptions!$C$9/30,0)),H12*(1-Assumptions!$C$25),0),IF(16=MAX(1,ROUNDUP(Assumptions!$C$9/30,0)),I12*(1-Assumptions!$C$25),0),IF(15=MAX(1,ROUNDUP(Assumptions!$C$9/30,0)),J12*(1-Assumptions!$C$25),0),IF(14=MAX(1,ROUNDUP(Assumptions!$C$9/30,0)),K12*(1-Assumptions!$C$25),0),IF(13=MAX(1,ROUNDUP(Assumptions!$C$9/30,0)),L12*(1-Assumptions!$C$25),0),IF(12=MAX(1,ROUNDUP(Assumptions!$C$9/30,0)),M12*(1-Assumptions!$C$25),0),IF(11=MAX(1,ROUNDUP(Assumptions!$C$9/30,0)),N12*(1-Assumptions!$C$25),0),IF(10=MAX(1,ROUNDUP(Assumptions!$C$9/30,0)),O12*(1-Assumptions!$C$25),0),IF(9=MAX(1,ROUNDUP(Assumptions!$C$9/30,0)),P12*(1-Assumptions!$C$25),0),IF(8=MAX(1,ROUNDUP(Assumptions!$C$9/30,0)),Q12*(1-Assumptions!$C$25),0),IF(7=MAX(1,ROUNDUP(Assumptions!$C$9/30,0)),R12*(1-Assumptions!$C$25),0),IF(6=MAX(1,ROUNDUP(Assumptions!$C$9/30,0)),S12*(1-Assumptions!$C$25),0),IF(5=MAX(1,ROUNDUP(Assumptions!$C$9/30,0)),T12*(1-Assumptions!$C$25),0),IF(4=MAX(1,ROUNDUP(Assumptions!$C$9/30,0)),U12*(1-Assumptions!$C$25),0),IF(3=MAX(1,ROUNDUP(Assumptions!$C$9/30,0)),V12*(1-Assumptions!$C$25),0),IF(2=MAX(1,ROUNDUP(Assumptions!$C$9/30,0)),W12*(1-Assumptions!$C$25),0),IF(1=MAX(1,ROUNDUP(Assumptions!$C$9/30,0)),X12*(1-Assumptions!$C$25),0),IF(0=MAX(1,ROUNDUP(Assumptions!$C$9/30,0)),Y12*(1-Assumptions!$C$25),0))+IF(22=Assumptions!$C$12,$C$8*(1-Assumptions!$C$26),0)</x:f>
        <x:v>25.073663313614794</x:v>
      </x:c>
      <x:c r="Z37" s="7" t="n">
        <x:f aca="0">SUM(IF(23=MAX(1,ROUNDUP(Assumptions!$C$9/30,0)),C13*(1-Assumptions!$C$24),0),IF(22=MAX(1,ROUNDUP(Assumptions!$C$9/30,0)),D13*(1-Assumptions!$C$24),0),IF(21=MAX(1,ROUNDUP(Assumptions!$C$9/30,0)),E13*(1-Assumptions!$C$24),0),IF(20=MAX(1,ROUNDUP(Assumptions!$C$9/30,0)),F13*(1-Assumptions!$C$24),0),IF(19=MAX(1,ROUNDUP(Assumptions!$C$9/30,0)),G13*(1-Assumptions!$C$24),0),IF(18=MAX(1,ROUNDUP(Assumptions!$C$9/30,0)),H13*(1-Assumptions!$C$24),0),IF(17=MAX(1,ROUNDUP(Assumptions!$C$9/30,0)),I13*(1-Assumptions!$C$24),0),IF(16=MAX(1,ROUNDUP(Assumptions!$C$9/30,0)),J13*(1-Assumptions!$C$24),0),IF(15=MAX(1,ROUNDUP(Assumptions!$C$9/30,0)),K13*(1-Assumptions!$C$24),0),IF(14=MAX(1,ROUNDUP(Assumptions!$C$9/30,0)),L13*(1-Assumptions!$C$24),0),IF(13=MAX(1,ROUNDUP(Assumptions!$C$9/30,0)),M13*(1-Assumptions!$C$24),0),IF(12=MAX(1,ROUNDUP(Assumptions!$C$9/30,0)),N13*(1-Assumptions!$C$24),0),IF(11=MAX(1,ROUNDUP(Assumptions!$C$9/30,0)),O13*(1-Assumptions!$C$24),0),IF(10=MAX(1,ROUNDUP(Assumptions!$C$9/30,0)),P13*(1-Assumptions!$C$24),0),IF(9=MAX(1,ROUNDUP(Assumptions!$C$9/30,0)),Q13*(1-Assumptions!$C$24),0),IF(8=MAX(1,ROUNDUP(Assumptions!$C$9/30,0)),R13*(1-Assumptions!$C$24),0),IF(7=MAX(1,ROUNDUP(Assumptions!$C$9/30,0)),S13*(1-Assumptions!$C$24),0),IF(6=MAX(1,ROUNDUP(Assumptions!$C$9/30,0)),T13*(1-Assumptions!$C$24),0),IF(5=MAX(1,ROUNDUP(Assumptions!$C$9/30,0)),U13*(1-Assumptions!$C$24),0),IF(4=MAX(1,ROUNDUP(Assumptions!$C$9/30,0)),V13*(1-Assumptions!$C$24),0),IF(3=MAX(1,ROUNDUP(Assumptions!$C$9/30,0)),W13*(1-Assumptions!$C$24),0),IF(2=MAX(1,ROUNDUP(Assumptions!$C$9/30,0)),X13*(1-Assumptions!$C$24),0),IF(1=MAX(1,ROUNDUP(Assumptions!$C$9/30,0)),Y13*(1-Assumptions!$C$24),0),IF(0=MAX(1,ROUNDUP(Assumptions!$C$9/30,0)),Z13*(1-Assumptions!$C$24),0),IF(23=MAX(1,ROUNDUP(Assumptions!$C$9/30,0)),C12*(1-Assumptions!$C$25),0),IF(22=MAX(1,ROUNDUP(Assumptions!$C$9/30,0)),D12*(1-Assumptions!$C$25),0),IF(21=MAX(1,ROUNDUP(Assumptions!$C$9/30,0)),E12*(1-Assumptions!$C$25),0),IF(20=MAX(1,ROUNDUP(Assumptions!$C$9/30,0)),F12*(1-Assumptions!$C$25),0),IF(19=MAX(1,ROUNDUP(Assumptions!$C$9/30,0)),G12*(1-Assumptions!$C$25),0),IF(18=MAX(1,ROUNDUP(Assumptions!$C$9/30,0)),H12*(1-Assumptions!$C$25),0),IF(17=MAX(1,ROUNDUP(Assumptions!$C$9/30,0)),I12*(1-Assumptions!$C$25),0),IF(16=MAX(1,ROUNDUP(Assumptions!$C$9/30,0)),J12*(1-Assumptions!$C$25),0),IF(15=MAX(1,ROUNDUP(Assumptions!$C$9/30,0)),K12*(1-Assumptions!$C$25),0),IF(14=MAX(1,ROUNDUP(Assumptions!$C$9/30,0)),L12*(1-Assumptions!$C$25),0),IF(13=MAX(1,ROUNDUP(Assumptions!$C$9/30,0)),M12*(1-Assumptions!$C$25),0),IF(12=MAX(1,ROUNDUP(Assumptions!$C$9/30,0)),N12*(1-Assumptions!$C$25),0),IF(11=MAX(1,ROUNDUP(Assumptions!$C$9/30,0)),O12*(1-Assumptions!$C$25),0),IF(10=MAX(1,ROUNDUP(Assumptions!$C$9/30,0)),P12*(1-Assumptions!$C$25),0),IF(9=MAX(1,ROUNDUP(Assumptions!$C$9/30,0)),Q12*(1-Assumptions!$C$25),0),IF(8=MAX(1,ROUNDUP(Assumptions!$C$9/30,0)),R12*(1-Assumptions!$C$25),0),IF(7=MAX(1,ROUNDUP(Assumptions!$C$9/30,0)),S12*(1-Assumptions!$C$25),0),IF(6=MAX(1,ROUNDUP(Assumptions!$C$9/30,0)),T12*(1-Assumptions!$C$25),0),IF(5=MAX(1,ROUNDUP(Assumptions!$C$9/30,0)),U12*(1-Assumptions!$C$25),0),IF(4=MAX(1,ROUNDUP(Assumptions!$C$9/30,0)),V12*(1-Assumptions!$C$25),0),IF(3=MAX(1,ROUNDUP(Assumptions!$C$9/30,0)),W12*(1-Assumptions!$C$25),0),IF(2=MAX(1,ROUNDUP(Assumptions!$C$9/30,0)),X12*(1-Assumptions!$C$25),0),IF(1=MAX(1,ROUNDUP(Assumptions!$C$9/30,0)),Y12*(1-Assumptions!$C$25),0),IF(0=MAX(1,ROUNDUP(Assumptions!$C$9/30,0)),Z12*(1-Assumptions!$C$25),0))+IF(23=Assumptions!$C$12,$C$8*(1-Assumptions!$C$26),0)</x:f>
        <x:v>26.327346479295528</x:v>
      </x:c>
    </x:row>
    <x:row r="38" ht="16.5" hidden="0" customHeight="1">
      <x:c r="A38" s="1" t="s">
        <x:v>323</x:v>
      </x:c>
      <x:c r="B38" s="1" t="s">
        <x:v>103</x:v>
      </x:c>
      <x:c r="C38" s="7" t="n">
        <x:f aca="0">SUM(C25:C27)*Assumptions!$C$32</x:f>
        <x:v>0</x:v>
      </x:c>
      <x:c r="D38" s="7" t="n">
        <x:f aca="0">SUM(D25:D27)*Assumptions!$C$32</x:f>
        <x:v>0</x:v>
      </x:c>
      <x:c r="E38" s="7" t="n">
        <x:f aca="0">SUM(E25:E27)*Assumptions!$C$32</x:f>
        <x:v>0.1424736</x:v>
      </x:c>
      <x:c r="F38" s="7" t="n">
        <x:f aca="0">SUM(F25:F27)*Assumptions!$C$32</x:f>
        <x:v>0.19419091200000002</x:v>
      </x:c>
      <x:c r="G38" s="7" t="n">
        <x:f aca="0">SUM(G25:G27)*Assumptions!$C$32</x:f>
        <x:v>0.24526669363200004</x:v>
      </x:c>
      <x:c r="H38" s="7" t="n">
        <x:f aca="0">SUM(H25:H27)*Assumptions!$C$32</x:f>
        <x:v>0.29624882523955204</x:v>
      </x:c>
      <x:c r="I38" s="7" t="n">
        <x:f aca="0">SUM(I25:I27)*Assumptions!$C$32</x:f>
        <x:v>0.3473020604242207</x:v>
      </x:c>
      <x:c r="J38" s="7" t="n">
        <x:f aca="0">SUM(J25:J27)*Assumptions!$C$32</x:f>
        <x:v>0.3985885465570706</x:v>
      </x:c>
      <x:c r="K38" s="7" t="n">
        <x:f aca="0">SUM(K25:K27)*Assumptions!$C$32</x:f>
        <x:v>0.4502683884774181</x:v>
      </x:c>
      <x:c r="L38" s="7" t="n">
        <x:f aca="0">SUM(L25:L27)*Assumptions!$C$32</x:f>
        <x:v>0.5025001959598634</x:v>
      </x:c>
      <x:c r="M38" s="7" t="n">
        <x:f aca="0">SUM(M25:M27)*Assumptions!$C$32</x:f>
        <x:v>0.5554416169806822</x:v>
      </x:c>
      <x:c r="N38" s="7" t="n">
        <x:f aca="0">SUM(N25:N27)*Assumptions!$C$32</x:f>
        <x:v>0.609249858734281</x:v>
      </x:c>
      <x:c r="O38" s="7" t="n">
        <x:f aca="0">SUM(O25:O27)*Assumptions!$C$32</x:f>
        <x:v>0.6640821982776678</x:v>
      </x:c>
      <x:c r="P38" s="7" t="n">
        <x:f aca="0">SUM(P25:P27)*Assumptions!$C$32</x:f>
        <x:v>0.7200964846153967</x:v>
      </x:c>
      <x:c r="Q38" s="7" t="n">
        <x:f aca="0">SUM(Q25:Q27)*Assumptions!$C$32</x:f>
        <x:v>0.7774516339788858</x:v>
      </x:c>
      <x:c r="R38" s="7" t="n">
        <x:f aca="0">SUM(R25:R27)*Assumptions!$C$32</x:f>
        <x:v>0.8363081200020558</x:v>
      </x:c>
      <x:c r="S38" s="7" t="n">
        <x:f aca="0">SUM(S25:S27)*Assumptions!$C$32</x:f>
        <x:v>0.8968284604496334</x:v>
      </x:c>
      <x:c r="T38" s="7" t="n">
        <x:f aca="0">SUM(T25:T27)*Assumptions!$C$32</x:f>
        <x:v>0.9591777021149516</x:v>
      </x:c>
      <x:c r="U38" s="7" t="n">
        <x:f aca="0">SUM(U25:U27)*Assumptions!$C$32</x:f>
        <x:v>1.0235239054703944</x:v>
      </x:c>
      <x:c r="V38" s="7" t="n">
        <x:f aca="0">SUM(V25:V27)*Assumptions!$C$32</x:f>
        <x:v>1.090038630625629</x:v>
      </x:c>
      <x:c r="W38" s="7" t="n">
        <x:f aca="0">SUM(W25:W27)*Assumptions!$C$32</x:f>
        <x:v>1.158897426126195</x:v>
      </x:c>
      <x:c r="X38" s="7" t="n">
        <x:f aca="0">SUM(X25:X27)*Assumptions!$C$32</x:f>
        <x:v>1.2302803221077554</x:v>
      </x:c>
      <x:c r="Y38" s="7" t="n">
        <x:f aca="0">SUM(Y25:Y27)*Assumptions!$C$32</x:f>
        <x:v>1.3043723293091778</x:v>
      </x:c>
      <x:c r="Z38" s="7" t="n">
        <x:f aca="0">SUM(Z25:Z27)*Assumptions!$C$32</x:f>
        <x:v>1.3813639454405249</x:v>
      </x:c>
    </x:row>
    <x:row r="39" ht="16.5" hidden="0" customHeight="1">
      <x:c r="A39" s="11" t="s">
        <x:v>324</x:v>
      </x:c>
      <x:c r="B39" s="1" t="s">
        <x:v>103</x:v>
      </x:c>
      <x:c r="C39" s="7" t="n">
        <x:f aca="0">C35*Assumptions!$C$31</x:f>
        <x:v>0</x:v>
      </x:c>
      <x:c r="D39" s="7" t="n">
        <x:f aca="0">D35*Assumptions!$C$31</x:f>
        <x:v>3.8633999999999986</x:v>
      </x:c>
      <x:c r="E39" s="7" t="n">
        <x:f aca="0">E35*Assumptions!$C$31</x:f>
        <x:v>10.0223556</x:v>
      </x:c>
      <x:c r="F39" s="7" t="n">
        <x:f aca="0">F35*Assumptions!$C$31</x:f>
        <x:v>12.556060800000001</x:v>
      </x:c>
      <x:c r="G39" s="7" t="n">
        <x:f aca="0">G35*Assumptions!$C$31</x:f>
        <x:v>14.602549833600003</x:v>
      </x:c>
      <x:c r="H39" s="7" t="n">
        <x:f aca="0">H35*Assumptions!$C$31</x:f>
        <x:v>16.33816739160961</x:v>
      </x:c>
      <x:c r="I39" s="7" t="n">
        <x:f aca="0">I35*Assumptions!$C$31</x:f>
        <x:v>17.870534446698596</x:v>
      </x:c>
      <x:c r="J39" s="7" t="n">
        <x:f aca="0">J35*Assumptions!$C$31</x:f>
        <x:v>19.275754487066287</x:v>
      </x:c>
      <x:c r="K39" s="7" t="n">
        <x:f aca="0">K35*Assumptions!$C$31</x:f>
        <x:v>20.60790394897602</x:v>
      </x:c>
      <x:c r="L39" s="7" t="n">
        <x:f aca="0">L35*Assumptions!$C$31</x:f>
        <x:v>21.905677487092063</x:v>
      </x:c>
      <x:c r="M39" s="7" t="n">
        <x:f aca="0">M35*Assumptions!$C$31</x:f>
        <x:v>23.197041716331313</x:v>
      </x:c>
      <x:c r="N39" s="7" t="n">
        <x:f aca="0">N35*Assumptions!$C$31</x:f>
        <x:v>24.502494973933985</x:v>
      </x:c>
      <x:c r="O39" s="7" t="n">
        <x:f aca="0">O35*Assumptions!$C$31</x:f>
        <x:v>25.83735139115233</x:v>
      </x:c>
      <x:c r="P39" s="7" t="n">
        <x:f aca="0">P35*Assumptions!$C$31</x:f>
        <x:v>27.213342082657093</x:v>
      </x:c>
      <x:c r="Q39" s="7" t="n">
        <x:f aca="0">Q35*Assumptions!$C$31</x:f>
        <x:v>28.6397384250801</x:v>
      </x:c>
      <x:c r="R39" s="7" t="n">
        <x:f aca="0">R35*Assumptions!$C$31</x:f>
        <x:v>30.12414091067704</x:v>
      </x:c>
      <x:c r="S39" s="7" t="n">
        <x:f aca="0">S35*Assumptions!$C$31</x:f>
        <x:v>31.673034022548208</x:v>
      </x:c>
      <x:c r="T39" s="7" t="n">
        <x:f aca="0">T35*Assumptions!$C$31</x:f>
        <x:v>33.292177450445976</x:v>
      </x:c>
      <x:c r="U39" s="7" t="n">
        <x:f aca="0">U35*Assumptions!$C$31</x:f>
        <x:v>34.986882877300374</x:v>
      </x:c>
      <x:c r="V39" s="7" t="n">
        <x:f aca="0">V35*Assumptions!$C$31</x:f>
        <x:v>36.76221080467278</x:v>
      </x:c>
      <x:c r="W39" s="7" t="n">
        <x:f aca="0">W35*Assumptions!$C$31</x:f>
        <x:v>38.62311155232611</x:v>
      </x:c>
      <x:c r="X39" s="7" t="n">
        <x:f aca="0">X35*Assumptions!$C$31</x:f>
        <x:v>40.57452733432697</x:v>
      </x:c>
      <x:c r="Y39" s="7" t="n">
        <x:f aca="0">Y35*Assumptions!$C$31</x:f>
        <x:v>42.621467251515085</x:v>
      </x:c>
      <x:c r="Z39" s="7" t="n">
        <x:f aca="0">Z35*Assumptions!$C$31</x:f>
        <x:v>44.769063496749894</x:v>
      </x:c>
    </x:row>
    <x:row r="40" ht="16.5" hidden="0" customHeight="1">
      <x:c r="A40" s="33" t="s">
        <x:v>325</x:v>
      </x:c>
      <x:c r="B40" s="10" t="s">
        <x:v>103</x:v>
      </x:c>
      <x:c r="C40" s="32" t="n">
        <x:f aca="0">SUM(C35:C37)+C38-C39</x:f>
        <x:v>12.877999999999997</x:v>
      </x:c>
      <x:c r="D40" s="32" t="n">
        <x:f aca="0">SUM(D35:D37)+D38-D39</x:f>
        <x:v>33.407852</x:v>
      </x:c>
      <x:c r="E40" s="32" t="n">
        <x:f aca="0">SUM(E35:E37)+E38-E39</x:f>
        <x:v>41.853536000000005</x:v>
      </x:c>
      <x:c r="F40" s="32" t="n">
        <x:f aca="0">SUM(F35:F37)+F38-F39</x:f>
        <x:v>48.675166112000014</x:v>
      </x:c>
      <x:c r="G40" s="32" t="n">
        <x:f aca="0">SUM(G35:G37)+G38-G39</x:f>
        <x:v>54.46055797203203</x:v>
      </x:c>
      <x:c r="H40" s="32" t="n">
        <x:f aca="0">SUM(H35:H37)+H38-H39</x:f>
        <x:v>59.56844815566199</x:v>
      </x:c>
      <x:c r="I40" s="32" t="n">
        <x:f aca="0">SUM(I35:I37)+I38-I39</x:f>
        <x:v>64.25251495688762</x:v>
      </x:c>
      <x:c r="J40" s="32" t="n">
        <x:f aca="0">SUM(J35:J37)+J38-J39</x:f>
        <x:v>68.6930131632534</x:v>
      </x:c>
      <x:c r="K40" s="32" t="n">
        <x:f aca="0">SUM(K35:K37)+K38-K39</x:f>
        <x:v>73.01892495697355</x:v>
      </x:c>
      <x:c r="L40" s="32" t="n">
        <x:f aca="0">SUM(L35:L37)+L38-L39</x:f>
        <x:v>77.32347238777105</x:v>
      </x:c>
      <x:c r="M40" s="32" t="n">
        <x:f aca="0">SUM(M35:M37)+M38-M39</x:f>
        <x:v>81.67498324644662</x:v>
      </x:c>
      <x:c r="N40" s="32" t="n">
        <x:f aca="0">SUM(N35:N37)+N38-N39</x:f>
        <x:v>86.12450463717443</x:v>
      </x:c>
      <x:c r="O40" s="32" t="n">
        <x:f aca="0">SUM(O35:O37)+O38-O39</x:f>
        <x:v>90.71114027552365</x:v>
      </x:c>
      <x:c r="P40" s="32" t="n">
        <x:f aca="0">SUM(P35:P37)+P38-P39</x:f>
        <x:v>95.46579475026701</x:v>
      </x:c>
      <x:c r="Q40" s="32" t="n">
        <x:f aca="0">SUM(Q35:Q37)+Q38-Q39</x:f>
        <x:v>100.41380303559013</x:v>
      </x:c>
      <x:c r="R40" s="32" t="n">
        <x:f aca="0">SUM(R35:R37)+R38-R39</x:f>
        <x:v>105.5767800751607</x:v>
      </x:c>
      <x:c r="S40" s="32" t="n">
        <x:f aca="0">SUM(S35:S37)+S38-S39</x:f>
        <x:v>110.97392483481993</x:v>
      </x:c>
      <x:c r="T40" s="32" t="n">
        <x:f aca="0">SUM(T35:T37)+T38-T39</x:f>
        <x:v>116.6229429243346</x:v>
      </x:c>
      <x:c r="U40" s="32" t="n">
        <x:f aca="0">SUM(U35:U37)+U38-U39</x:f>
        <x:v>122.54070268224261</x:v>
      </x:c>
      <x:c r="V40" s="32" t="n">
        <x:f aca="0">SUM(V35:V37)+V38-V39</x:f>
        <x:v>128.74370517442037</x:v>
      </x:c>
      <x:c r="W40" s="32" t="n">
        <x:f aca="0">SUM(W35:W37)+W38-W39</x:f>
        <x:v>135.24842444775658</x:v>
      </x:c>
      <x:c r="X40" s="32" t="n">
        <x:f aca="0">SUM(X35:X37)+X38-X39</x:f>
        <x:v>142.0715575050503</x:v>
      </x:c>
      <x:c r="Y40" s="32" t="n">
        <x:f aca="0">SUM(Y35:Y37)+Y38-Y39</x:f>
        <x:v>149.230211655833</x:v>
      </x:c>
      <x:c r="Z40" s="32" t="n">
        <x:f aca="0">SUM(Z35:Z37)+Z38-Z39</x:f>
        <x:v>156.74204863116165</x:v>
      </x:c>
    </x:row>
    <x:row r="41" ht="16.5" hidden="0" customHeight="1">
      <x:c r="A41" s="1" t="s">
        <x:v>326</x:v>
      </x:c>
      <x:c r="B41" s="1" t="s">
        <x:v>103</x:v>
      </x:c>
      <x:c r="C41" s="7" t="n">
        <x:f aca="0">SUM(IF(0&lt;MAX(1,ROUNDUP(Assumptions!$C$9/30,0)),C13+C12,0))</x:f>
        <x:v>12.882</x:v>
      </x:c>
      <x:c r="D41" s="7" t="n">
        <x:f aca="0">SUM(IF(1&lt;MAX(1,ROUNDUP(Assumptions!$C$9/30,0)),C13+C12,0),IF(0&lt;MAX(1,ROUNDUP(Assumptions!$C$9/30,0)),D13+D12,0))</x:f>
        <x:v>12.674088</x:v>
      </x:c>
      <x:c r="E41" s="7" t="n">
        <x:f aca="0">SUM(IF(2&lt;MAX(1,ROUNDUP(Assumptions!$C$9/30,0)),C13+C12,0),IF(1&lt;MAX(1,ROUNDUP(Assumptions!$C$9/30,0)),D13+D12,0),IF(0&lt;MAX(1,ROUNDUP(Assumptions!$C$9/30,0)),E13+E12,0))</x:f>
        <x:v>13.23</x:v>
      </x:c>
      <x:c r="F41" s="7" t="n">
        <x:f aca="0">SUM(IF(3&lt;MAX(1,ROUNDUP(Assumptions!$C$9/30,0)),C13+C12,0),IF(2&lt;MAX(1,ROUNDUP(Assumptions!$C$9/30,0)),D13+D12,0),IF(1&lt;MAX(1,ROUNDUP(Assumptions!$C$9/30,0)),E13+E12,0),IF(0&lt;MAX(1,ROUNDUP(Assumptions!$C$9/30,0)),F13+F12,0))</x:f>
        <x:v>13.891500000000002</x:v>
      </x:c>
      <x:c r="G41" s="7" t="n">
        <x:f aca="0">SUM(IF(4&lt;MAX(1,ROUNDUP(Assumptions!$C$9/30,0)),C13+C12,0),IF(3&lt;MAX(1,ROUNDUP(Assumptions!$C$9/30,0)),D13+D12,0),IF(2&lt;MAX(1,ROUNDUP(Assumptions!$C$9/30,0)),E13+E12,0),IF(1&lt;MAX(1,ROUNDUP(Assumptions!$C$9/30,0)),F13+F12,0),IF(0&lt;MAX(1,ROUNDUP(Assumptions!$C$9/30,0)),G13+G12,0))</x:f>
        <x:v>14.586075000000003</x:v>
      </x:c>
      <x:c r="H41" s="7" t="n">
        <x:f aca="0">SUM(IF(5&lt;MAX(1,ROUNDUP(Assumptions!$C$9/30,0)),C13+C12,0),IF(4&lt;MAX(1,ROUNDUP(Assumptions!$C$9/30,0)),D13+D12,0),IF(3&lt;MAX(1,ROUNDUP(Assumptions!$C$9/30,0)),E13+E12,0),IF(2&lt;MAX(1,ROUNDUP(Assumptions!$C$9/30,0)),F13+F12,0),IF(1&lt;MAX(1,ROUNDUP(Assumptions!$C$9/30,0)),G13+G12,0),IF(0&lt;MAX(1,ROUNDUP(Assumptions!$C$9/30,0)),H13+H12,0))</x:f>
        <x:v>15.315378750000004</x:v>
      </x:c>
      <x:c r="I41" s="7" t="n">
        <x:f aca="0">SUM(IF(6&lt;MAX(1,ROUNDUP(Assumptions!$C$9/30,0)),C13+C12,0),IF(5&lt;MAX(1,ROUNDUP(Assumptions!$C$9/30,0)),D13+D12,0),IF(4&lt;MAX(1,ROUNDUP(Assumptions!$C$9/30,0)),E13+E12,0),IF(3&lt;MAX(1,ROUNDUP(Assumptions!$C$9/30,0)),F13+F12,0),IF(2&lt;MAX(1,ROUNDUP(Assumptions!$C$9/30,0)),G13+G12,0),IF(1&lt;MAX(1,ROUNDUP(Assumptions!$C$9/30,0)),H13+H12,0),IF(0&lt;MAX(1,ROUNDUP(Assumptions!$C$9/30,0)),I13+I12,0))</x:f>
        <x:v>16.081147687500003</x:v>
      </x:c>
      <x:c r="J41" s="7" t="n">
        <x:f aca="0">SUM(IF(7&lt;MAX(1,ROUNDUP(Assumptions!$C$9/30,0)),C13+C12,0),IF(6&lt;MAX(1,ROUNDUP(Assumptions!$C$9/30,0)),D13+D12,0),IF(5&lt;MAX(1,ROUNDUP(Assumptions!$C$9/30,0)),E13+E12,0),IF(4&lt;MAX(1,ROUNDUP(Assumptions!$C$9/30,0)),F13+F12,0),IF(3&lt;MAX(1,ROUNDUP(Assumptions!$C$9/30,0)),G13+G12,0),IF(2&lt;MAX(1,ROUNDUP(Assumptions!$C$9/30,0)),H13+H12,0),IF(1&lt;MAX(1,ROUNDUP(Assumptions!$C$9/30,0)),I13+I12,0),IF(0&lt;MAX(1,ROUNDUP(Assumptions!$C$9/30,0)),J13+J12,0))</x:f>
        <x:v>16.885205071875003</x:v>
      </x:c>
      <x:c r="K41" s="7" t="n">
        <x:f aca="0">SUM(IF(8&lt;MAX(1,ROUNDUP(Assumptions!$C$9/30,0)),C13+C12,0),IF(7&lt;MAX(1,ROUNDUP(Assumptions!$C$9/30,0)),D13+D12,0),IF(6&lt;MAX(1,ROUNDUP(Assumptions!$C$9/30,0)),E13+E12,0),IF(5&lt;MAX(1,ROUNDUP(Assumptions!$C$9/30,0)),F13+F12,0),IF(4&lt;MAX(1,ROUNDUP(Assumptions!$C$9/30,0)),G13+G12,0),IF(3&lt;MAX(1,ROUNDUP(Assumptions!$C$9/30,0)),H13+H12,0),IF(2&lt;MAX(1,ROUNDUP(Assumptions!$C$9/30,0)),I13+I12,0),IF(1&lt;MAX(1,ROUNDUP(Assumptions!$C$9/30,0)),J13+J12,0),IF(0&lt;MAX(1,ROUNDUP(Assumptions!$C$9/30,0)),K13+K12,0))</x:f>
        <x:v>17.729465325468755</x:v>
      </x:c>
      <x:c r="L41" s="7" t="n">
        <x:f aca="0">SUM(IF(9&lt;MAX(1,ROUNDUP(Assumptions!$C$9/30,0)),C13+C12,0),IF(8&lt;MAX(1,ROUNDUP(Assumptions!$C$9/30,0)),D13+D12,0),IF(7&lt;MAX(1,ROUNDUP(Assumptions!$C$9/30,0)),E13+E12,0),IF(6&lt;MAX(1,ROUNDUP(Assumptions!$C$9/30,0)),F13+F12,0),IF(5&lt;MAX(1,ROUNDUP(Assumptions!$C$9/30,0)),G13+G12,0),IF(4&lt;MAX(1,ROUNDUP(Assumptions!$C$9/30,0)),H13+H12,0),IF(3&lt;MAX(1,ROUNDUP(Assumptions!$C$9/30,0)),I13+I12,0),IF(2&lt;MAX(1,ROUNDUP(Assumptions!$C$9/30,0)),J13+J12,0),IF(1&lt;MAX(1,ROUNDUP(Assumptions!$C$9/30,0)),K13+K12,0),IF(0&lt;MAX(1,ROUNDUP(Assumptions!$C$9/30,0)),L13+L12,0))</x:f>
        <x:v>18.615938591742196</x:v>
      </x:c>
      <x:c r="M41" s="7" t="n">
        <x:f aca="0">SUM(IF(10&lt;MAX(1,ROUNDUP(Assumptions!$C$9/30,0)),C13+C12,0),IF(9&lt;MAX(1,ROUNDUP(Assumptions!$C$9/30,0)),D13+D12,0),IF(8&lt;MAX(1,ROUNDUP(Assumptions!$C$9/30,0)),E13+E12,0),IF(7&lt;MAX(1,ROUNDUP(Assumptions!$C$9/30,0)),F13+F12,0),IF(6&lt;MAX(1,ROUNDUP(Assumptions!$C$9/30,0)),G13+G12,0),IF(5&lt;MAX(1,ROUNDUP(Assumptions!$C$9/30,0)),H13+H12,0),IF(4&lt;MAX(1,ROUNDUP(Assumptions!$C$9/30,0)),I13+I12,0),IF(3&lt;MAX(1,ROUNDUP(Assumptions!$C$9/30,0)),J13+J12,0),IF(2&lt;MAX(1,ROUNDUP(Assumptions!$C$9/30,0)),K13+K12,0),IF(1&lt;MAX(1,ROUNDUP(Assumptions!$C$9/30,0)),L13+L12,0),IF(0&lt;MAX(1,ROUNDUP(Assumptions!$C$9/30,0)),M13+M12,0))</x:f>
        <x:v>19.546735521329303</x:v>
      </x:c>
      <x:c r="N41" s="7" t="n">
        <x:f aca="0">SUM(IF(11&lt;MAX(1,ROUNDUP(Assumptions!$C$9/30,0)),C13+C12,0),IF(10&lt;MAX(1,ROUNDUP(Assumptions!$C$9/30,0)),D13+D12,0),IF(9&lt;MAX(1,ROUNDUP(Assumptions!$C$9/30,0)),E13+E12,0),IF(8&lt;MAX(1,ROUNDUP(Assumptions!$C$9/30,0)),F13+F12,0),IF(7&lt;MAX(1,ROUNDUP(Assumptions!$C$9/30,0)),G13+G12,0),IF(6&lt;MAX(1,ROUNDUP(Assumptions!$C$9/30,0)),H13+H12,0),IF(5&lt;MAX(1,ROUNDUP(Assumptions!$C$9/30,0)),I13+I12,0),IF(4&lt;MAX(1,ROUNDUP(Assumptions!$C$9/30,0)),J13+J12,0),IF(3&lt;MAX(1,ROUNDUP(Assumptions!$C$9/30,0)),K13+K12,0),IF(2&lt;MAX(1,ROUNDUP(Assumptions!$C$9/30,0)),L13+L12,0),IF(1&lt;MAX(1,ROUNDUP(Assumptions!$C$9/30,0)),M13+M12,0),IF(0&lt;MAX(1,ROUNDUP(Assumptions!$C$9/30,0)),N13+N12,0))</x:f>
        <x:v>20.524072297395772</x:v>
      </x:c>
      <x:c r="O41" s="7" t="n">
        <x:f aca="0">SUM(IF(12&lt;MAX(1,ROUNDUP(Assumptions!$C$9/30,0)),C13+C12,0),IF(11&lt;MAX(1,ROUNDUP(Assumptions!$C$9/30,0)),D13+D12,0),IF(10&lt;MAX(1,ROUNDUP(Assumptions!$C$9/30,0)),E13+E12,0),IF(9&lt;MAX(1,ROUNDUP(Assumptions!$C$9/30,0)),F13+F12,0),IF(8&lt;MAX(1,ROUNDUP(Assumptions!$C$9/30,0)),G13+G12,0),IF(7&lt;MAX(1,ROUNDUP(Assumptions!$C$9/30,0)),H13+H12,0),IF(6&lt;MAX(1,ROUNDUP(Assumptions!$C$9/30,0)),I13+I12,0),IF(5&lt;MAX(1,ROUNDUP(Assumptions!$C$9/30,0)),J13+J12,0),IF(4&lt;MAX(1,ROUNDUP(Assumptions!$C$9/30,0)),K13+K12,0),IF(3&lt;MAX(1,ROUNDUP(Assumptions!$C$9/30,0)),L13+L12,0),IF(2&lt;MAX(1,ROUNDUP(Assumptions!$C$9/30,0)),M13+M12,0),IF(1&lt;MAX(1,ROUNDUP(Assumptions!$C$9/30,0)),N13+N12,0),IF(0&lt;MAX(1,ROUNDUP(Assumptions!$C$9/30,0)),O13+O12,0))</x:f>
        <x:v>21.55027591226556</x:v>
      </x:c>
      <x:c r="P41" s="7" t="n">
        <x:f aca="0">SUM(IF(13&lt;MAX(1,ROUNDUP(Assumptions!$C$9/30,0)),C13+C12,0),IF(12&lt;MAX(1,ROUNDUP(Assumptions!$C$9/30,0)),D13+D12,0),IF(11&lt;MAX(1,ROUNDUP(Assumptions!$C$9/30,0)),E13+E12,0),IF(10&lt;MAX(1,ROUNDUP(Assumptions!$C$9/30,0)),F13+F12,0),IF(9&lt;MAX(1,ROUNDUP(Assumptions!$C$9/30,0)),G13+G12,0),IF(8&lt;MAX(1,ROUNDUP(Assumptions!$C$9/30,0)),H13+H12,0),IF(7&lt;MAX(1,ROUNDUP(Assumptions!$C$9/30,0)),I13+I12,0),IF(6&lt;MAX(1,ROUNDUP(Assumptions!$C$9/30,0)),J13+J12,0),IF(5&lt;MAX(1,ROUNDUP(Assumptions!$C$9/30,0)),K13+K12,0),IF(4&lt;MAX(1,ROUNDUP(Assumptions!$C$9/30,0)),L13+L12,0),IF(3&lt;MAX(1,ROUNDUP(Assumptions!$C$9/30,0)),M13+M12,0),IF(2&lt;MAX(1,ROUNDUP(Assumptions!$C$9/30,0)),N13+N12,0),IF(1&lt;MAX(1,ROUNDUP(Assumptions!$C$9/30,0)),O13+O12,0),IF(0&lt;MAX(1,ROUNDUP(Assumptions!$C$9/30,0)),P13+P12,0))</x:f>
        <x:v>22.62778970787884</x:v>
      </x:c>
      <x:c r="Q41" s="7" t="n">
        <x:f aca="0">SUM(IF(14&lt;MAX(1,ROUNDUP(Assumptions!$C$9/30,0)),C13+C12,0),IF(13&lt;MAX(1,ROUNDUP(Assumptions!$C$9/30,0)),D13+D12,0),IF(12&lt;MAX(1,ROUNDUP(Assumptions!$C$9/30,0)),E13+E12,0),IF(11&lt;MAX(1,ROUNDUP(Assumptions!$C$9/30,0)),F13+F12,0),IF(10&lt;MAX(1,ROUNDUP(Assumptions!$C$9/30,0)),G13+G12,0),IF(9&lt;MAX(1,ROUNDUP(Assumptions!$C$9/30,0)),H13+H12,0),IF(8&lt;MAX(1,ROUNDUP(Assumptions!$C$9/30,0)),I13+I12,0),IF(7&lt;MAX(1,ROUNDUP(Assumptions!$C$9/30,0)),J13+J12,0),IF(6&lt;MAX(1,ROUNDUP(Assumptions!$C$9/30,0)),K13+K12,0),IF(5&lt;MAX(1,ROUNDUP(Assumptions!$C$9/30,0)),L13+L12,0),IF(4&lt;MAX(1,ROUNDUP(Assumptions!$C$9/30,0)),M13+M12,0),IF(3&lt;MAX(1,ROUNDUP(Assumptions!$C$9/30,0)),N13+N12,0),IF(2&lt;MAX(1,ROUNDUP(Assumptions!$C$9/30,0)),O13+O12,0),IF(1&lt;MAX(1,ROUNDUP(Assumptions!$C$9/30,0)),P13+P12,0),IF(0&lt;MAX(1,ROUNDUP(Assumptions!$C$9/30,0)),Q13+Q12,0))</x:f>
        <x:v>23.759179193272782</x:v>
      </x:c>
      <x:c r="R41" s="7" t="n">
        <x:f aca="0">SUM(IF(15&lt;MAX(1,ROUNDUP(Assumptions!$C$9/30,0)),C13+C12,0),IF(14&lt;MAX(1,ROUNDUP(Assumptions!$C$9/30,0)),D13+D12,0),IF(13&lt;MAX(1,ROUNDUP(Assumptions!$C$9/30,0)),E13+E12,0),IF(12&lt;MAX(1,ROUNDUP(Assumptions!$C$9/30,0)),F13+F12,0),IF(11&lt;MAX(1,ROUNDUP(Assumptions!$C$9/30,0)),G13+G12,0),IF(10&lt;MAX(1,ROUNDUP(Assumptions!$C$9/30,0)),H13+H12,0),IF(9&lt;MAX(1,ROUNDUP(Assumptions!$C$9/30,0)),I13+I12,0),IF(8&lt;MAX(1,ROUNDUP(Assumptions!$C$9/30,0)),J13+J12,0),IF(7&lt;MAX(1,ROUNDUP(Assumptions!$C$9/30,0)),K13+K12,0),IF(6&lt;MAX(1,ROUNDUP(Assumptions!$C$9/30,0)),L13+L12,0),IF(5&lt;MAX(1,ROUNDUP(Assumptions!$C$9/30,0)),M13+M12,0),IF(4&lt;MAX(1,ROUNDUP(Assumptions!$C$9/30,0)),N13+N12,0),IF(3&lt;MAX(1,ROUNDUP(Assumptions!$C$9/30,0)),O13+O12,0),IF(2&lt;MAX(1,ROUNDUP(Assumptions!$C$9/30,0)),P13+P12,0),IF(1&lt;MAX(1,ROUNDUP(Assumptions!$C$9/30,0)),Q13+Q12,0),IF(0&lt;MAX(1,ROUNDUP(Assumptions!$C$9/30,0)),R13+R12,0))</x:f>
        <x:v>24.947138152936425</x:v>
      </x:c>
      <x:c r="S41" s="7" t="n">
        <x:f aca="0">SUM(IF(16&lt;MAX(1,ROUNDUP(Assumptions!$C$9/30,0)),C13+C12,0),IF(15&lt;MAX(1,ROUNDUP(Assumptions!$C$9/30,0)),D13+D12,0),IF(14&lt;MAX(1,ROUNDUP(Assumptions!$C$9/30,0)),E13+E12,0),IF(13&lt;MAX(1,ROUNDUP(Assumptions!$C$9/30,0)),F13+F12,0),IF(12&lt;MAX(1,ROUNDUP(Assumptions!$C$9/30,0)),G13+G12,0),IF(11&lt;MAX(1,ROUNDUP(Assumptions!$C$9/30,0)),H13+H12,0),IF(10&lt;MAX(1,ROUNDUP(Assumptions!$C$9/30,0)),I13+I12,0),IF(9&lt;MAX(1,ROUNDUP(Assumptions!$C$9/30,0)),J13+J12,0),IF(8&lt;MAX(1,ROUNDUP(Assumptions!$C$9/30,0)),K13+K12,0),IF(7&lt;MAX(1,ROUNDUP(Assumptions!$C$9/30,0)),L13+L12,0),IF(6&lt;MAX(1,ROUNDUP(Assumptions!$C$9/30,0)),M13+M12,0),IF(5&lt;MAX(1,ROUNDUP(Assumptions!$C$9/30,0)),N13+N12,0),IF(4&lt;MAX(1,ROUNDUP(Assumptions!$C$9/30,0)),O13+O12,0),IF(3&lt;MAX(1,ROUNDUP(Assumptions!$C$9/30,0)),P13+P12,0),IF(2&lt;MAX(1,ROUNDUP(Assumptions!$C$9/30,0)),Q13+Q12,0),IF(1&lt;MAX(1,ROUNDUP(Assumptions!$C$9/30,0)),R13+R12,0),IF(0&lt;MAX(1,ROUNDUP(Assumptions!$C$9/30,0)),S13+S12,0))</x:f>
        <x:v>26.194495060583243</x:v>
      </x:c>
      <x:c r="T41" s="7" t="n">
        <x:f aca="0">SUM(IF(17&lt;MAX(1,ROUNDUP(Assumptions!$C$9/30,0)),C13+C12,0),IF(16&lt;MAX(1,ROUNDUP(Assumptions!$C$9/30,0)),D13+D12,0),IF(15&lt;MAX(1,ROUNDUP(Assumptions!$C$9/30,0)),E13+E12,0),IF(14&lt;MAX(1,ROUNDUP(Assumptions!$C$9/30,0)),F13+F12,0),IF(13&lt;MAX(1,ROUNDUP(Assumptions!$C$9/30,0)),G13+G12,0),IF(12&lt;MAX(1,ROUNDUP(Assumptions!$C$9/30,0)),H13+H12,0),IF(11&lt;MAX(1,ROUNDUP(Assumptions!$C$9/30,0)),I13+I12,0),IF(10&lt;MAX(1,ROUNDUP(Assumptions!$C$9/30,0)),J13+J12,0),IF(9&lt;MAX(1,ROUNDUP(Assumptions!$C$9/30,0)),K13+K12,0),IF(8&lt;MAX(1,ROUNDUP(Assumptions!$C$9/30,0)),L13+L12,0),IF(7&lt;MAX(1,ROUNDUP(Assumptions!$C$9/30,0)),M13+M12,0),IF(6&lt;MAX(1,ROUNDUP(Assumptions!$C$9/30,0)),N13+N12,0),IF(5&lt;MAX(1,ROUNDUP(Assumptions!$C$9/30,0)),O13+O12,0),IF(4&lt;MAX(1,ROUNDUP(Assumptions!$C$9/30,0)),P13+P12,0),IF(3&lt;MAX(1,ROUNDUP(Assumptions!$C$9/30,0)),Q13+Q12,0),IF(2&lt;MAX(1,ROUNDUP(Assumptions!$C$9/30,0)),R13+R12,0),IF(1&lt;MAX(1,ROUNDUP(Assumptions!$C$9/30,0)),S13+S12,0),IF(0&lt;MAX(1,ROUNDUP(Assumptions!$C$9/30,0)),T13+T12,0))</x:f>
        <x:v>27.50421981361241</x:v>
      </x:c>
      <x:c r="U41" s="7" t="n">
        <x:f aca="0">SUM(IF(18&lt;MAX(1,ROUNDUP(Assumptions!$C$9/30,0)),C13+C12,0),IF(17&lt;MAX(1,ROUNDUP(Assumptions!$C$9/30,0)),D13+D12,0),IF(16&lt;MAX(1,ROUNDUP(Assumptions!$C$9/30,0)),E13+E12,0),IF(15&lt;MAX(1,ROUNDUP(Assumptions!$C$9/30,0)),F13+F12,0),IF(14&lt;MAX(1,ROUNDUP(Assumptions!$C$9/30,0)),G13+G12,0),IF(13&lt;MAX(1,ROUNDUP(Assumptions!$C$9/30,0)),H13+H12,0),IF(12&lt;MAX(1,ROUNDUP(Assumptions!$C$9/30,0)),I13+I12,0),IF(11&lt;MAX(1,ROUNDUP(Assumptions!$C$9/30,0)),J13+J12,0),IF(10&lt;MAX(1,ROUNDUP(Assumptions!$C$9/30,0)),K13+K12,0),IF(9&lt;MAX(1,ROUNDUP(Assumptions!$C$9/30,0)),L13+L12,0),IF(8&lt;MAX(1,ROUNDUP(Assumptions!$C$9/30,0)),M13+M12,0),IF(7&lt;MAX(1,ROUNDUP(Assumptions!$C$9/30,0)),N13+N12,0),IF(6&lt;MAX(1,ROUNDUP(Assumptions!$C$9/30,0)),O13+O12,0),IF(5&lt;MAX(1,ROUNDUP(Assumptions!$C$9/30,0)),P13+P12,0),IF(4&lt;MAX(1,ROUNDUP(Assumptions!$C$9/30,0)),Q13+Q12,0),IF(3&lt;MAX(1,ROUNDUP(Assumptions!$C$9/30,0)),R13+R12,0),IF(2&lt;MAX(1,ROUNDUP(Assumptions!$C$9/30,0)),S13+S12,0),IF(1&lt;MAX(1,ROUNDUP(Assumptions!$C$9/30,0)),T13+T12,0),IF(0&lt;MAX(1,ROUNDUP(Assumptions!$C$9/30,0)),U13+U12,0))</x:f>
        <x:v>28.879430804293026</x:v>
      </x:c>
      <x:c r="V41" s="7" t="n">
        <x:f aca="0">SUM(IF(19&lt;MAX(1,ROUNDUP(Assumptions!$C$9/30,0)),C13+C12,0),IF(18&lt;MAX(1,ROUNDUP(Assumptions!$C$9/30,0)),D13+D12,0),IF(17&lt;MAX(1,ROUNDUP(Assumptions!$C$9/30,0)),E13+E12,0),IF(16&lt;MAX(1,ROUNDUP(Assumptions!$C$9/30,0)),F13+F12,0),IF(15&lt;MAX(1,ROUNDUP(Assumptions!$C$9/30,0)),G13+G12,0),IF(14&lt;MAX(1,ROUNDUP(Assumptions!$C$9/30,0)),H13+H12,0),IF(13&lt;MAX(1,ROUNDUP(Assumptions!$C$9/30,0)),I13+I12,0),IF(12&lt;MAX(1,ROUNDUP(Assumptions!$C$9/30,0)),J13+J12,0),IF(11&lt;MAX(1,ROUNDUP(Assumptions!$C$9/30,0)),K13+K12,0),IF(10&lt;MAX(1,ROUNDUP(Assumptions!$C$9/30,0)),L13+L12,0),IF(9&lt;MAX(1,ROUNDUP(Assumptions!$C$9/30,0)),M13+M12,0),IF(8&lt;MAX(1,ROUNDUP(Assumptions!$C$9/30,0)),N13+N12,0),IF(7&lt;MAX(1,ROUNDUP(Assumptions!$C$9/30,0)),O13+O12,0),IF(6&lt;MAX(1,ROUNDUP(Assumptions!$C$9/30,0)),P13+P12,0),IF(5&lt;MAX(1,ROUNDUP(Assumptions!$C$9/30,0)),Q13+Q12,0),IF(4&lt;MAX(1,ROUNDUP(Assumptions!$C$9/30,0)),R13+R12,0),IF(3&lt;MAX(1,ROUNDUP(Assumptions!$C$9/30,0)),S13+S12,0),IF(2&lt;MAX(1,ROUNDUP(Assumptions!$C$9/30,0)),T13+T12,0),IF(1&lt;MAX(1,ROUNDUP(Assumptions!$C$9/30,0)),U13+U12,0),IF(0&lt;MAX(1,ROUNDUP(Assumptions!$C$9/30,0)),V13+V12,0))</x:f>
        <x:v>30.323402344507684</x:v>
      </x:c>
      <x:c r="W41" s="7" t="n">
        <x:f aca="0">SUM(IF(20&lt;MAX(1,ROUNDUP(Assumptions!$C$9/30,0)),C13+C12,0),IF(19&lt;MAX(1,ROUNDUP(Assumptions!$C$9/30,0)),D13+D12,0),IF(18&lt;MAX(1,ROUNDUP(Assumptions!$C$9/30,0)),E13+E12,0),IF(17&lt;MAX(1,ROUNDUP(Assumptions!$C$9/30,0)),F13+F12,0),IF(16&lt;MAX(1,ROUNDUP(Assumptions!$C$9/30,0)),G13+G12,0),IF(15&lt;MAX(1,ROUNDUP(Assumptions!$C$9/30,0)),H13+H12,0),IF(14&lt;MAX(1,ROUNDUP(Assumptions!$C$9/30,0)),I13+I12,0),IF(13&lt;MAX(1,ROUNDUP(Assumptions!$C$9/30,0)),J13+J12,0),IF(12&lt;MAX(1,ROUNDUP(Assumptions!$C$9/30,0)),K13+K12,0),IF(11&lt;MAX(1,ROUNDUP(Assumptions!$C$9/30,0)),L13+L12,0),IF(10&lt;MAX(1,ROUNDUP(Assumptions!$C$9/30,0)),M13+M12,0),IF(9&lt;MAX(1,ROUNDUP(Assumptions!$C$9/30,0)),N13+N12,0),IF(8&lt;MAX(1,ROUNDUP(Assumptions!$C$9/30,0)),O13+O12,0),IF(7&lt;MAX(1,ROUNDUP(Assumptions!$C$9/30,0)),P13+P12,0),IF(6&lt;MAX(1,ROUNDUP(Assumptions!$C$9/30,0)),Q13+Q12,0),IF(5&lt;MAX(1,ROUNDUP(Assumptions!$C$9/30,0)),R13+R12,0),IF(4&lt;MAX(1,ROUNDUP(Assumptions!$C$9/30,0)),S13+S12,0),IF(3&lt;MAX(1,ROUNDUP(Assumptions!$C$9/30,0)),T13+T12,0),IF(2&lt;MAX(1,ROUNDUP(Assumptions!$C$9/30,0)),U13+U12,0),IF(1&lt;MAX(1,ROUNDUP(Assumptions!$C$9/30,0)),V13+V12,0),IF(0&lt;MAX(1,ROUNDUP(Assumptions!$C$9/30,0)),W13+W12,0))</x:f>
        <x:v>31.839572461733063</x:v>
      </x:c>
      <x:c r="X41" s="7" t="n">
        <x:f aca="0">SUM(IF(21&lt;MAX(1,ROUNDUP(Assumptions!$C$9/30,0)),C13+C12,0),IF(20&lt;MAX(1,ROUNDUP(Assumptions!$C$9/30,0)),D13+D12,0),IF(19&lt;MAX(1,ROUNDUP(Assumptions!$C$9/30,0)),E13+E12,0),IF(18&lt;MAX(1,ROUNDUP(Assumptions!$C$9/30,0)),F13+F12,0),IF(17&lt;MAX(1,ROUNDUP(Assumptions!$C$9/30,0)),G13+G12,0),IF(16&lt;MAX(1,ROUNDUP(Assumptions!$C$9/30,0)),H13+H12,0),IF(15&lt;MAX(1,ROUNDUP(Assumptions!$C$9/30,0)),I13+I12,0),IF(14&lt;MAX(1,ROUNDUP(Assumptions!$C$9/30,0)),J13+J12,0),IF(13&lt;MAX(1,ROUNDUP(Assumptions!$C$9/30,0)),K13+K12,0),IF(12&lt;MAX(1,ROUNDUP(Assumptions!$C$9/30,0)),L13+L12,0),IF(11&lt;MAX(1,ROUNDUP(Assumptions!$C$9/30,0)),M13+M12,0),IF(10&lt;MAX(1,ROUNDUP(Assumptions!$C$9/30,0)),N13+N12,0),IF(9&lt;MAX(1,ROUNDUP(Assumptions!$C$9/30,0)),O13+O12,0),IF(8&lt;MAX(1,ROUNDUP(Assumptions!$C$9/30,0)),P13+P12,0),IF(7&lt;MAX(1,ROUNDUP(Assumptions!$C$9/30,0)),Q13+Q12,0),IF(6&lt;MAX(1,ROUNDUP(Assumptions!$C$9/30,0)),R13+R12,0),IF(5&lt;MAX(1,ROUNDUP(Assumptions!$C$9/30,0)),S13+S12,0),IF(4&lt;MAX(1,ROUNDUP(Assumptions!$C$9/30,0)),T13+T12,0),IF(3&lt;MAX(1,ROUNDUP(Assumptions!$C$9/30,0)),U13+U12,0),IF(2&lt;MAX(1,ROUNDUP(Assumptions!$C$9/30,0)),V13+V12,0),IF(1&lt;MAX(1,ROUNDUP(Assumptions!$C$9/30,0)),W13+W12,0),IF(0&lt;MAX(1,ROUNDUP(Assumptions!$C$9/30,0)),X13+X12,0))</x:f>
        <x:v>33.43155108481972</x:v>
      </x:c>
      <x:c r="Y41" s="7" t="n">
        <x:f aca="0">SUM(IF(22&lt;MAX(1,ROUNDUP(Assumptions!$C$9/30,0)),C13+C12,0),IF(21&lt;MAX(1,ROUNDUP(Assumptions!$C$9/30,0)),D13+D12,0),IF(20&lt;MAX(1,ROUNDUP(Assumptions!$C$9/30,0)),E13+E12,0),IF(19&lt;MAX(1,ROUNDUP(Assumptions!$C$9/30,0)),F13+F12,0),IF(18&lt;MAX(1,ROUNDUP(Assumptions!$C$9/30,0)),G13+G12,0),IF(17&lt;MAX(1,ROUNDUP(Assumptions!$C$9/30,0)),H13+H12,0),IF(16&lt;MAX(1,ROUNDUP(Assumptions!$C$9/30,0)),I13+I12,0),IF(15&lt;MAX(1,ROUNDUP(Assumptions!$C$9/30,0)),J13+J12,0),IF(14&lt;MAX(1,ROUNDUP(Assumptions!$C$9/30,0)),K13+K12,0),IF(13&lt;MAX(1,ROUNDUP(Assumptions!$C$9/30,0)),L13+L12,0),IF(12&lt;MAX(1,ROUNDUP(Assumptions!$C$9/30,0)),M13+M12,0),IF(11&lt;MAX(1,ROUNDUP(Assumptions!$C$9/30,0)),N13+N12,0),IF(10&lt;MAX(1,ROUNDUP(Assumptions!$C$9/30,0)),O13+O12,0),IF(9&lt;MAX(1,ROUNDUP(Assumptions!$C$9/30,0)),P13+P12,0),IF(8&lt;MAX(1,ROUNDUP(Assumptions!$C$9/30,0)),Q13+Q12,0),IF(7&lt;MAX(1,ROUNDUP(Assumptions!$C$9/30,0)),R13+R12,0),IF(6&lt;MAX(1,ROUNDUP(Assumptions!$C$9/30,0)),S13+S12,0),IF(5&lt;MAX(1,ROUNDUP(Assumptions!$C$9/30,0)),T13+T12,0),IF(4&lt;MAX(1,ROUNDUP(Assumptions!$C$9/30,0)),U13+U12,0),IF(3&lt;MAX(1,ROUNDUP(Assumptions!$C$9/30,0)),V13+V12,0),IF(2&lt;MAX(1,ROUNDUP(Assumptions!$C$9/30,0)),W13+W12,0),IF(1&lt;MAX(1,ROUNDUP(Assumptions!$C$9/30,0)),X13+X12,0),IF(0&lt;MAX(1,ROUNDUP(Assumptions!$C$9/30,0)),Y13+Y12,0))</x:f>
        <x:v>35.10312863906071</x:v>
      </x:c>
      <x:c r="Z41" s="7" t="n">
        <x:f aca="0">SUM(IF(23&lt;MAX(1,ROUNDUP(Assumptions!$C$9/30,0)),C13+C12,0),IF(22&lt;MAX(1,ROUNDUP(Assumptions!$C$9/30,0)),D13+D12,0),IF(21&lt;MAX(1,ROUNDUP(Assumptions!$C$9/30,0)),E13+E12,0),IF(20&lt;MAX(1,ROUNDUP(Assumptions!$C$9/30,0)),F13+F12,0),IF(19&lt;MAX(1,ROUNDUP(Assumptions!$C$9/30,0)),G13+G12,0),IF(18&lt;MAX(1,ROUNDUP(Assumptions!$C$9/30,0)),H13+H12,0),IF(17&lt;MAX(1,ROUNDUP(Assumptions!$C$9/30,0)),I13+I12,0),IF(16&lt;MAX(1,ROUNDUP(Assumptions!$C$9/30,0)),J13+J12,0),IF(15&lt;MAX(1,ROUNDUP(Assumptions!$C$9/30,0)),K13+K12,0),IF(14&lt;MAX(1,ROUNDUP(Assumptions!$C$9/30,0)),L13+L12,0),IF(13&lt;MAX(1,ROUNDUP(Assumptions!$C$9/30,0)),M13+M12,0),IF(12&lt;MAX(1,ROUNDUP(Assumptions!$C$9/30,0)),N13+N12,0),IF(11&lt;MAX(1,ROUNDUP(Assumptions!$C$9/30,0)),O13+O12,0),IF(10&lt;MAX(1,ROUNDUP(Assumptions!$C$9/30,0)),P13+P12,0),IF(9&lt;MAX(1,ROUNDUP(Assumptions!$C$9/30,0)),Q13+Q12,0),IF(8&lt;MAX(1,ROUNDUP(Assumptions!$C$9/30,0)),R13+R12,0),IF(7&lt;MAX(1,ROUNDUP(Assumptions!$C$9/30,0)),S13+S12,0),IF(6&lt;MAX(1,ROUNDUP(Assumptions!$C$9/30,0)),T13+T12,0),IF(5&lt;MAX(1,ROUNDUP(Assumptions!$C$9/30,0)),U13+U12,0),IF(4&lt;MAX(1,ROUNDUP(Assumptions!$C$9/30,0)),V13+V12,0),IF(3&lt;MAX(1,ROUNDUP(Assumptions!$C$9/30,0)),W13+W12,0),IF(2&lt;MAX(1,ROUNDUP(Assumptions!$C$9/30,0)),X13+X12,0),IF(1&lt;MAX(1,ROUNDUP(Assumptions!$C$9/30,0)),Y13+Y12,0),IF(0&lt;MAX(1,ROUNDUP(Assumptions!$C$9/30,0)),Z13+Z12,0))</x:f>
        <x:v>36.858285071013746</x:v>
      </x:c>
    </x:row>
    <x:row r="42" ht="16.5" hidden="0" customHeight="1">
      <x:c r="A42" s="1" t="s">
        <x:v>327</x:v>
      </x:c>
      <x:c r="B42" s="1" t="s">
        <x:v>103</x:v>
      </x:c>
      <x:c r="C42" s="7" t="n">
        <x:f aca="0">IF(0&lt;Assumptions!$C$12,$C$8,0)</x:f>
        <x:v>10.5</x:v>
      </x:c>
      <x:c r="D42" s="7" t="n">
        <x:f aca="0">IF(1&lt;Assumptions!$C$12,$C$8,0)</x:f>
        <x:v>0</x:v>
      </x:c>
      <x:c r="E42" s="7" t="n">
        <x:f aca="0">IF(2&lt;Assumptions!$C$12,$C$8,0)</x:f>
        <x:v>0</x:v>
      </x:c>
      <x:c r="F42" s="7" t="n">
        <x:f aca="0">IF(3&lt;Assumptions!$C$12,$C$8,0)</x:f>
        <x:v>0</x:v>
      </x:c>
      <x:c r="G42" s="7" t="n">
        <x:f aca="0">IF(4&lt;Assumptions!$C$12,$C$8,0)</x:f>
        <x:v>0</x:v>
      </x:c>
      <x:c r="H42" s="7" t="n">
        <x:f aca="0">IF(5&lt;Assumptions!$C$12,$C$8,0)</x:f>
        <x:v>0</x:v>
      </x:c>
      <x:c r="I42" s="7" t="n">
        <x:f aca="0">IF(6&lt;Assumptions!$C$12,$C$8,0)</x:f>
        <x:v>0</x:v>
      </x:c>
      <x:c r="J42" s="7" t="n">
        <x:f aca="0">IF(7&lt;Assumptions!$C$12,$C$8,0)</x:f>
        <x:v>0</x:v>
      </x:c>
      <x:c r="K42" s="7" t="n">
        <x:f aca="0">IF(8&lt;Assumptions!$C$12,$C$8,0)</x:f>
        <x:v>0</x:v>
      </x:c>
      <x:c r="L42" s="7" t="n">
        <x:f aca="0">IF(9&lt;Assumptions!$C$12,$C$8,0)</x:f>
        <x:v>0</x:v>
      </x:c>
      <x:c r="M42" s="7" t="n">
        <x:f aca="0">IF(10&lt;Assumptions!$C$12,$C$8,0)</x:f>
        <x:v>0</x:v>
      </x:c>
      <x:c r="N42" s="7" t="n">
        <x:f aca="0">IF(11&lt;Assumptions!$C$12,$C$8,0)</x:f>
        <x:v>0</x:v>
      </x:c>
      <x:c r="O42" s="7" t="n">
        <x:f aca="0">IF(12&lt;Assumptions!$C$12,$C$8,0)</x:f>
        <x:v>0</x:v>
      </x:c>
      <x:c r="P42" s="7" t="n">
        <x:f aca="0">IF(13&lt;Assumptions!$C$12,$C$8,0)</x:f>
        <x:v>0</x:v>
      </x:c>
      <x:c r="Q42" s="7" t="n">
        <x:f aca="0">IF(14&lt;Assumptions!$C$12,$C$8,0)</x:f>
        <x:v>0</x:v>
      </x:c>
      <x:c r="R42" s="7" t="n">
        <x:f aca="0">IF(15&lt;Assumptions!$C$12,$C$8,0)</x:f>
        <x:v>0</x:v>
      </x:c>
      <x:c r="S42" s="7" t="n">
        <x:f aca="0">IF(16&lt;Assumptions!$C$12,$C$8,0)</x:f>
        <x:v>0</x:v>
      </x:c>
      <x:c r="T42" s="7" t="n">
        <x:f aca="0">IF(17&lt;Assumptions!$C$12,$C$8,0)</x:f>
        <x:v>0</x:v>
      </x:c>
      <x:c r="U42" s="7" t="n">
        <x:f aca="0">IF(18&lt;Assumptions!$C$12,$C$8,0)</x:f>
        <x:v>0</x:v>
      </x:c>
      <x:c r="V42" s="7" t="n">
        <x:f aca="0">IF(19&lt;Assumptions!$C$12,$C$8,0)</x:f>
        <x:v>0</x:v>
      </x:c>
      <x:c r="W42" s="7" t="n">
        <x:f aca="0">IF(20&lt;Assumptions!$C$12,$C$8,0)</x:f>
        <x:v>0</x:v>
      </x:c>
      <x:c r="X42" s="7" t="n">
        <x:f aca="0">IF(21&lt;Assumptions!$C$12,$C$8,0)</x:f>
        <x:v>0</x:v>
      </x:c>
      <x:c r="Y42" s="7" t="n">
        <x:f aca="0">IF(22&lt;Assumptions!$C$12,$C$8,0)</x:f>
        <x:v>0</x:v>
      </x:c>
      <x:c r="Z42" s="7" t="n">
        <x:f aca="0">IF(23&lt;Assumptions!$C$12,$C$8,0)</x:f>
        <x:v>0</x:v>
      </x:c>
    </x:row>
    <x:row r="43" ht="16.5" hidden="0" customHeight="1">
      <x:c r="A43" s="1" t="s">
        <x:v>328</x:v>
      </x:c>
      <x:c r="B43" s="1" t="s">
        <x:v>103</x:v>
      </x:c>
      <x:c r="C43" s="7" t="n">
        <x:f aca="0">C10*(Assumptions!$C$22*Assumptions!$C$23)^Assumptions!$C$11</x:f>
        <x:v>0.09260999999999998</x:v>
      </x:c>
      <x:c r="D43" s="7" t="n">
        <x:f aca="0">D10*(Assumptions!$C$22*Assumptions!$C$23)^Assumptions!$C$11</x:f>
        <x:v>0.007779239999999999</x:v>
      </x:c>
      <x:c r="E43" s="7" t="n">
        <x:f aca="0">E10*(Assumptions!$C$22*Assumptions!$C$23)^Assumptions!$C$11</x:f>
        <x:v>0</x:v>
      </x:c>
      <x:c r="F43" s="7" t="n">
        <x:f aca="0">F10*(Assumptions!$C$22*Assumptions!$C$23)^Assumptions!$C$11</x:f>
        <x:v>0</x:v>
      </x:c>
      <x:c r="G43" s="7" t="n">
        <x:f aca="0">G10*(Assumptions!$C$22*Assumptions!$C$23)^Assumptions!$C$11</x:f>
        <x:v>0</x:v>
      </x:c>
      <x:c r="H43" s="7" t="n">
        <x:f aca="0">H10*(Assumptions!$C$22*Assumptions!$C$23)^Assumptions!$C$11</x:f>
        <x:v>0</x:v>
      </x:c>
      <x:c r="I43" s="7" t="n">
        <x:f aca="0">I10*(Assumptions!$C$22*Assumptions!$C$23)^Assumptions!$C$11</x:f>
        <x:v>0</x:v>
      </x:c>
      <x:c r="J43" s="7" t="n">
        <x:f aca="0">J10*(Assumptions!$C$22*Assumptions!$C$23)^Assumptions!$C$11</x:f>
        <x:v>0</x:v>
      </x:c>
      <x:c r="K43" s="7" t="n">
        <x:f aca="0">K10*(Assumptions!$C$22*Assumptions!$C$23)^Assumptions!$C$11</x:f>
        <x:v>0</x:v>
      </x:c>
      <x:c r="L43" s="7" t="n">
        <x:f aca="0">L10*(Assumptions!$C$22*Assumptions!$C$23)^Assumptions!$C$11</x:f>
        <x:v>0</x:v>
      </x:c>
      <x:c r="M43" s="7" t="n">
        <x:f aca="0">M10*(Assumptions!$C$22*Assumptions!$C$23)^Assumptions!$C$11</x:f>
        <x:v>0</x:v>
      </x:c>
      <x:c r="N43" s="7" t="n">
        <x:f aca="0">N10*(Assumptions!$C$22*Assumptions!$C$23)^Assumptions!$C$11</x:f>
        <x:v>0</x:v>
      </x:c>
      <x:c r="O43" s="7" t="n">
        <x:f aca="0">O10*(Assumptions!$C$22*Assumptions!$C$23)^Assumptions!$C$11</x:f>
        <x:v>0</x:v>
      </x:c>
      <x:c r="P43" s="7" t="n">
        <x:f aca="0">P10*(Assumptions!$C$22*Assumptions!$C$23)^Assumptions!$C$11</x:f>
        <x:v>0</x:v>
      </x:c>
      <x:c r="Q43" s="7" t="n">
        <x:f aca="0">Q10*(Assumptions!$C$22*Assumptions!$C$23)^Assumptions!$C$11</x:f>
        <x:v>0</x:v>
      </x:c>
      <x:c r="R43" s="7" t="n">
        <x:f aca="0">R10*(Assumptions!$C$22*Assumptions!$C$23)^Assumptions!$C$11</x:f>
        <x:v>0</x:v>
      </x:c>
      <x:c r="S43" s="7" t="n">
        <x:f aca="0">S10*(Assumptions!$C$22*Assumptions!$C$23)^Assumptions!$C$11</x:f>
        <x:v>0</x:v>
      </x:c>
      <x:c r="T43" s="7" t="n">
        <x:f aca="0">T10*(Assumptions!$C$22*Assumptions!$C$23)^Assumptions!$C$11</x:f>
        <x:v>0</x:v>
      </x:c>
      <x:c r="U43" s="7" t="n">
        <x:f aca="0">U10*(Assumptions!$C$22*Assumptions!$C$23)^Assumptions!$C$11</x:f>
        <x:v>0</x:v>
      </x:c>
      <x:c r="V43" s="7" t="n">
        <x:f aca="0">V10*(Assumptions!$C$22*Assumptions!$C$23)^Assumptions!$C$11</x:f>
        <x:v>0</x:v>
      </x:c>
      <x:c r="W43" s="7" t="n">
        <x:f aca="0">W10*(Assumptions!$C$22*Assumptions!$C$23)^Assumptions!$C$11</x:f>
        <x:v>0</x:v>
      </x:c>
      <x:c r="X43" s="7" t="n">
        <x:f aca="0">X10*(Assumptions!$C$22*Assumptions!$C$23)^Assumptions!$C$11</x:f>
        <x:v>0</x:v>
      </x:c>
      <x:c r="Y43" s="7" t="n">
        <x:f aca="0">Y10*(Assumptions!$C$22*Assumptions!$C$23)^Assumptions!$C$11</x:f>
        <x:v>0</x:v>
      </x:c>
      <x:c r="Z43" s="7" t="n">
        <x:f aca="0">Z10*(Assumptions!$C$22*Assumptions!$C$23)^Assumptions!$C$11</x:f>
        <x:v>0</x:v>
      </x:c>
    </x:row>
    <x:row r="44" ht="16.5" hidden="0" customHeight="1">
      <x:c r="A44" s="1" t="s">
        <x:v>329</x:v>
      </x:c>
      <x:c r="B44" s="1" t="s">
        <x:v>103</x:v>
      </x:c>
      <x:c r="C44" s="7" t="n">
        <x:f aca="0">0</x:f>
        <x:v>0</x:v>
      </x:c>
      <x:c r="D44" s="7" t="n">
        <x:f aca="0">MIN(SUM(IF(1&lt;=Assumptions!$C$13,C43,0))*Assumptions!$C$36,D34)</x:f>
        <x:v>0.06482699999999998</x:v>
      </x:c>
      <x:c r="E44" s="7" t="n">
        <x:f aca="0">MIN(SUM(IF(2&lt;=Assumptions!$C$13,C43,0),IF(1&lt;=Assumptions!$C$13,D43,0))*Assumptions!$C$36,E34)</x:f>
        <x:v>0.005445467999999999</x:v>
      </x:c>
      <x:c r="F44" s="7" t="n">
        <x:f aca="0">MIN(SUM(IF(3&lt;=Assumptions!$C$13,C43,0),IF(2&lt;=Assumptions!$C$13,D43,0),IF(1&lt;=Assumptions!$C$13,E43,0))*Assumptions!$C$36,F34)</x:f>
        <x:v>0</x:v>
      </x:c>
      <x:c r="G44" s="7" t="n">
        <x:f aca="0">MIN(SUM(IF(4&lt;=Assumptions!$C$13,C43,0),IF(3&lt;=Assumptions!$C$13,D43,0),IF(2&lt;=Assumptions!$C$13,E43,0),IF(1&lt;=Assumptions!$C$13,F43,0))*Assumptions!$C$36,G34)</x:f>
        <x:v>0</x:v>
      </x:c>
      <x:c r="H44" s="7" t="n">
        <x:f aca="0">MIN(SUM(IF(5&lt;=Assumptions!$C$13,C43,0),IF(4&lt;=Assumptions!$C$13,D43,0),IF(3&lt;=Assumptions!$C$13,E43,0),IF(2&lt;=Assumptions!$C$13,F43,0),IF(1&lt;=Assumptions!$C$13,G43,0))*Assumptions!$C$36,H34)</x:f>
        <x:v>0</x:v>
      </x:c>
      <x:c r="I44" s="7" t="n">
        <x:f aca="0">MIN(SUM(IF(6&lt;=Assumptions!$C$13,C43,0),IF(5&lt;=Assumptions!$C$13,D43,0),IF(4&lt;=Assumptions!$C$13,E43,0),IF(3&lt;=Assumptions!$C$13,F43,0),IF(2&lt;=Assumptions!$C$13,G43,0),IF(1&lt;=Assumptions!$C$13,H43,0))*Assumptions!$C$36,I34)</x:f>
        <x:v>0</x:v>
      </x:c>
      <x:c r="J44" s="7" t="n">
        <x:f aca="0">MIN(SUM(IF(7&lt;=Assumptions!$C$13,C43,0),IF(6&lt;=Assumptions!$C$13,D43,0),IF(5&lt;=Assumptions!$C$13,E43,0),IF(4&lt;=Assumptions!$C$13,F43,0),IF(3&lt;=Assumptions!$C$13,G43,0),IF(2&lt;=Assumptions!$C$13,H43,0),IF(1&lt;=Assumptions!$C$13,I43,0))*Assumptions!$C$36,J34)</x:f>
        <x:v>0</x:v>
      </x:c>
      <x:c r="K44" s="7" t="n">
        <x:f aca="0">MIN(SUM(IF(8&lt;=Assumptions!$C$13,C43,0),IF(7&lt;=Assumptions!$C$13,D43,0),IF(6&lt;=Assumptions!$C$13,E43,0),IF(5&lt;=Assumptions!$C$13,F43,0),IF(4&lt;=Assumptions!$C$13,G43,0),IF(3&lt;=Assumptions!$C$13,H43,0),IF(2&lt;=Assumptions!$C$13,I43,0),IF(1&lt;=Assumptions!$C$13,J43,0))*Assumptions!$C$36,K34)</x:f>
        <x:v>0</x:v>
      </x:c>
      <x:c r="L44" s="7" t="n">
        <x:f aca="0">MIN(SUM(IF(9&lt;=Assumptions!$C$13,C43,0),IF(8&lt;=Assumptions!$C$13,D43,0),IF(7&lt;=Assumptions!$C$13,E43,0),IF(6&lt;=Assumptions!$C$13,F43,0),IF(5&lt;=Assumptions!$C$13,G43,0),IF(4&lt;=Assumptions!$C$13,H43,0),IF(3&lt;=Assumptions!$C$13,I43,0),IF(2&lt;=Assumptions!$C$13,J43,0),IF(1&lt;=Assumptions!$C$13,K43,0))*Assumptions!$C$36,L34)</x:f>
        <x:v>0</x:v>
      </x:c>
      <x:c r="M44" s="7" t="n">
        <x:f aca="0">MIN(SUM(IF(10&lt;=Assumptions!$C$13,C43,0),IF(9&lt;=Assumptions!$C$13,D43,0),IF(8&lt;=Assumptions!$C$13,E43,0),IF(7&lt;=Assumptions!$C$13,F43,0),IF(6&lt;=Assumptions!$C$13,G43,0),IF(5&lt;=Assumptions!$C$13,H43,0),IF(4&lt;=Assumptions!$C$13,I43,0),IF(3&lt;=Assumptions!$C$13,J43,0),IF(2&lt;=Assumptions!$C$13,K43,0),IF(1&lt;=Assumptions!$C$13,L43,0))*Assumptions!$C$36,M34)</x:f>
        <x:v>0</x:v>
      </x:c>
      <x:c r="N44" s="7" t="n">
        <x:f aca="0">MIN(SUM(IF(11&lt;=Assumptions!$C$13,C43,0),IF(10&lt;=Assumptions!$C$13,D43,0),IF(9&lt;=Assumptions!$C$13,E43,0),IF(8&lt;=Assumptions!$C$13,F43,0),IF(7&lt;=Assumptions!$C$13,G43,0),IF(6&lt;=Assumptions!$C$13,H43,0),IF(5&lt;=Assumptions!$C$13,I43,0),IF(4&lt;=Assumptions!$C$13,J43,0),IF(3&lt;=Assumptions!$C$13,K43,0),IF(2&lt;=Assumptions!$C$13,L43,0),IF(1&lt;=Assumptions!$C$13,M43,0))*Assumptions!$C$36,N34)</x:f>
        <x:v>0</x:v>
      </x:c>
      <x:c r="O44" s="7" t="n">
        <x:f aca="0">MIN(SUM(IF(12&lt;=Assumptions!$C$13,C43,0),IF(11&lt;=Assumptions!$C$13,D43,0),IF(10&lt;=Assumptions!$C$13,E43,0),IF(9&lt;=Assumptions!$C$13,F43,0),IF(8&lt;=Assumptions!$C$13,G43,0),IF(7&lt;=Assumptions!$C$13,H43,0),IF(6&lt;=Assumptions!$C$13,I43,0),IF(5&lt;=Assumptions!$C$13,J43,0),IF(4&lt;=Assumptions!$C$13,K43,0),IF(3&lt;=Assumptions!$C$13,L43,0),IF(2&lt;=Assumptions!$C$13,M43,0),IF(1&lt;=Assumptions!$C$13,N43,0))*Assumptions!$C$36,O34)</x:f>
        <x:v>0</x:v>
      </x:c>
      <x:c r="P44" s="7" t="n">
        <x:f aca="0">MIN(SUM(IF(13&lt;=Assumptions!$C$13,C43,0),IF(12&lt;=Assumptions!$C$13,D43,0),IF(11&lt;=Assumptions!$C$13,E43,0),IF(10&lt;=Assumptions!$C$13,F43,0),IF(9&lt;=Assumptions!$C$13,G43,0),IF(8&lt;=Assumptions!$C$13,H43,0),IF(7&lt;=Assumptions!$C$13,I43,0),IF(6&lt;=Assumptions!$C$13,J43,0),IF(5&lt;=Assumptions!$C$13,K43,0),IF(4&lt;=Assumptions!$C$13,L43,0),IF(3&lt;=Assumptions!$C$13,M43,0),IF(2&lt;=Assumptions!$C$13,N43,0),IF(1&lt;=Assumptions!$C$13,O43,0))*Assumptions!$C$36,P34)</x:f>
        <x:v>0</x:v>
      </x:c>
      <x:c r="Q44" s="7" t="n">
        <x:f aca="0">MIN(SUM(IF(14&lt;=Assumptions!$C$13,C43,0),IF(13&lt;=Assumptions!$C$13,D43,0),IF(12&lt;=Assumptions!$C$13,E43,0),IF(11&lt;=Assumptions!$C$13,F43,0),IF(10&lt;=Assumptions!$C$13,G43,0),IF(9&lt;=Assumptions!$C$13,H43,0),IF(8&lt;=Assumptions!$C$13,I43,0),IF(7&lt;=Assumptions!$C$13,J43,0),IF(6&lt;=Assumptions!$C$13,K43,0),IF(5&lt;=Assumptions!$C$13,L43,0),IF(4&lt;=Assumptions!$C$13,M43,0),IF(3&lt;=Assumptions!$C$13,N43,0),IF(2&lt;=Assumptions!$C$13,O43,0),IF(1&lt;=Assumptions!$C$13,P43,0))*Assumptions!$C$36,Q34)</x:f>
        <x:v>0</x:v>
      </x:c>
      <x:c r="R44" s="7" t="n">
        <x:f aca="0">MIN(SUM(IF(15&lt;=Assumptions!$C$13,C43,0),IF(14&lt;=Assumptions!$C$13,D43,0),IF(13&lt;=Assumptions!$C$13,E43,0),IF(12&lt;=Assumptions!$C$13,F43,0),IF(11&lt;=Assumptions!$C$13,G43,0),IF(10&lt;=Assumptions!$C$13,H43,0),IF(9&lt;=Assumptions!$C$13,I43,0),IF(8&lt;=Assumptions!$C$13,J43,0),IF(7&lt;=Assumptions!$C$13,K43,0),IF(6&lt;=Assumptions!$C$13,L43,0),IF(5&lt;=Assumptions!$C$13,M43,0),IF(4&lt;=Assumptions!$C$13,N43,0),IF(3&lt;=Assumptions!$C$13,O43,0),IF(2&lt;=Assumptions!$C$13,P43,0),IF(1&lt;=Assumptions!$C$13,Q43,0))*Assumptions!$C$36,R34)</x:f>
        <x:v>0</x:v>
      </x:c>
      <x:c r="S44" s="7" t="n">
        <x:f aca="0">MIN(SUM(IF(16&lt;=Assumptions!$C$13,C43,0),IF(15&lt;=Assumptions!$C$13,D43,0),IF(14&lt;=Assumptions!$C$13,E43,0),IF(13&lt;=Assumptions!$C$13,F43,0),IF(12&lt;=Assumptions!$C$13,G43,0),IF(11&lt;=Assumptions!$C$13,H43,0),IF(10&lt;=Assumptions!$C$13,I43,0),IF(9&lt;=Assumptions!$C$13,J43,0),IF(8&lt;=Assumptions!$C$13,K43,0),IF(7&lt;=Assumptions!$C$13,L43,0),IF(6&lt;=Assumptions!$C$13,M43,0),IF(5&lt;=Assumptions!$C$13,N43,0),IF(4&lt;=Assumptions!$C$13,O43,0),IF(3&lt;=Assumptions!$C$13,P43,0),IF(2&lt;=Assumptions!$C$13,Q43,0),IF(1&lt;=Assumptions!$C$13,R43,0))*Assumptions!$C$36,S34)</x:f>
        <x:v>0</x:v>
      </x:c>
      <x:c r="T44" s="7" t="n">
        <x:f aca="0">MIN(SUM(IF(17&lt;=Assumptions!$C$13,C43,0),IF(16&lt;=Assumptions!$C$13,D43,0),IF(15&lt;=Assumptions!$C$13,E43,0),IF(14&lt;=Assumptions!$C$13,F43,0),IF(13&lt;=Assumptions!$C$13,G43,0),IF(12&lt;=Assumptions!$C$13,H43,0),IF(11&lt;=Assumptions!$C$13,I43,0),IF(10&lt;=Assumptions!$C$13,J43,0),IF(9&lt;=Assumptions!$C$13,K43,0),IF(8&lt;=Assumptions!$C$13,L43,0),IF(7&lt;=Assumptions!$C$13,M43,0),IF(6&lt;=Assumptions!$C$13,N43,0),IF(5&lt;=Assumptions!$C$13,O43,0),IF(4&lt;=Assumptions!$C$13,P43,0),IF(3&lt;=Assumptions!$C$13,Q43,0),IF(2&lt;=Assumptions!$C$13,R43,0),IF(1&lt;=Assumptions!$C$13,S43,0))*Assumptions!$C$36,T34)</x:f>
        <x:v>0</x:v>
      </x:c>
      <x:c r="U44" s="7" t="n">
        <x:f aca="0">MIN(SUM(IF(18&lt;=Assumptions!$C$13,C43,0),IF(17&lt;=Assumptions!$C$13,D43,0),IF(16&lt;=Assumptions!$C$13,E43,0),IF(15&lt;=Assumptions!$C$13,F43,0),IF(14&lt;=Assumptions!$C$13,G43,0),IF(13&lt;=Assumptions!$C$13,H43,0),IF(12&lt;=Assumptions!$C$13,I43,0),IF(11&lt;=Assumptions!$C$13,J43,0),IF(10&lt;=Assumptions!$C$13,K43,0),IF(9&lt;=Assumptions!$C$13,L43,0),IF(8&lt;=Assumptions!$C$13,M43,0),IF(7&lt;=Assumptions!$C$13,N43,0),IF(6&lt;=Assumptions!$C$13,O43,0),IF(5&lt;=Assumptions!$C$13,P43,0),IF(4&lt;=Assumptions!$C$13,Q43,0),IF(3&lt;=Assumptions!$C$13,R43,0),IF(2&lt;=Assumptions!$C$13,S43,0),IF(1&lt;=Assumptions!$C$13,T43,0))*Assumptions!$C$36,U34)</x:f>
        <x:v>0</x:v>
      </x:c>
      <x:c r="V44" s="7" t="n">
        <x:f aca="0">MIN(SUM(IF(19&lt;=Assumptions!$C$13,C43,0),IF(18&lt;=Assumptions!$C$13,D43,0),IF(17&lt;=Assumptions!$C$13,E43,0),IF(16&lt;=Assumptions!$C$13,F43,0),IF(15&lt;=Assumptions!$C$13,G43,0),IF(14&lt;=Assumptions!$C$13,H43,0),IF(13&lt;=Assumptions!$C$13,I43,0),IF(12&lt;=Assumptions!$C$13,J43,0),IF(11&lt;=Assumptions!$C$13,K43,0),IF(10&lt;=Assumptions!$C$13,L43,0),IF(9&lt;=Assumptions!$C$13,M43,0),IF(8&lt;=Assumptions!$C$13,N43,0),IF(7&lt;=Assumptions!$C$13,O43,0),IF(6&lt;=Assumptions!$C$13,P43,0),IF(5&lt;=Assumptions!$C$13,Q43,0),IF(4&lt;=Assumptions!$C$13,R43,0),IF(3&lt;=Assumptions!$C$13,S43,0),IF(2&lt;=Assumptions!$C$13,T43,0),IF(1&lt;=Assumptions!$C$13,U43,0))*Assumptions!$C$36,V34)</x:f>
        <x:v>0</x:v>
      </x:c>
      <x:c r="W44" s="7" t="n">
        <x:f aca="0">MIN(SUM(IF(20&lt;=Assumptions!$C$13,C43,0),IF(19&lt;=Assumptions!$C$13,D43,0),IF(18&lt;=Assumptions!$C$13,E43,0),IF(17&lt;=Assumptions!$C$13,F43,0),IF(16&lt;=Assumptions!$C$13,G43,0),IF(15&lt;=Assumptions!$C$13,H43,0),IF(14&lt;=Assumptions!$C$13,I43,0),IF(13&lt;=Assumptions!$C$13,J43,0),IF(12&lt;=Assumptions!$C$13,K43,0),IF(11&lt;=Assumptions!$C$13,L43,0),IF(10&lt;=Assumptions!$C$13,M43,0),IF(9&lt;=Assumptions!$C$13,N43,0),IF(8&lt;=Assumptions!$C$13,O43,0),IF(7&lt;=Assumptions!$C$13,P43,0),IF(6&lt;=Assumptions!$C$13,Q43,0),IF(5&lt;=Assumptions!$C$13,R43,0),IF(4&lt;=Assumptions!$C$13,S43,0),IF(3&lt;=Assumptions!$C$13,T43,0),IF(2&lt;=Assumptions!$C$13,U43,0),IF(1&lt;=Assumptions!$C$13,V43,0))*Assumptions!$C$36,W34)</x:f>
        <x:v>0</x:v>
      </x:c>
      <x:c r="X44" s="7" t="n">
        <x:f aca="0">MIN(SUM(IF(21&lt;=Assumptions!$C$13,C43,0),IF(20&lt;=Assumptions!$C$13,D43,0),IF(19&lt;=Assumptions!$C$13,E43,0),IF(18&lt;=Assumptions!$C$13,F43,0),IF(17&lt;=Assumptions!$C$13,G43,0),IF(16&lt;=Assumptions!$C$13,H43,0),IF(15&lt;=Assumptions!$C$13,I43,0),IF(14&lt;=Assumptions!$C$13,J43,0),IF(13&lt;=Assumptions!$C$13,K43,0),IF(12&lt;=Assumptions!$C$13,L43,0),IF(11&lt;=Assumptions!$C$13,M43,0),IF(10&lt;=Assumptions!$C$13,N43,0),IF(9&lt;=Assumptions!$C$13,O43,0),IF(8&lt;=Assumptions!$C$13,P43,0),IF(7&lt;=Assumptions!$C$13,Q43,0),IF(6&lt;=Assumptions!$C$13,R43,0),IF(5&lt;=Assumptions!$C$13,S43,0),IF(4&lt;=Assumptions!$C$13,T43,0),IF(3&lt;=Assumptions!$C$13,U43,0),IF(2&lt;=Assumptions!$C$13,V43,0),IF(1&lt;=Assumptions!$C$13,W43,0))*Assumptions!$C$36,X34)</x:f>
        <x:v>0</x:v>
      </x:c>
      <x:c r="Y44" s="7" t="n">
        <x:f aca="0">MIN(SUM(IF(22&lt;=Assumptions!$C$13,C43,0),IF(21&lt;=Assumptions!$C$13,D43,0),IF(20&lt;=Assumptions!$C$13,E43,0),IF(19&lt;=Assumptions!$C$13,F43,0),IF(18&lt;=Assumptions!$C$13,G43,0),IF(17&lt;=Assumptions!$C$13,H43,0),IF(16&lt;=Assumptions!$C$13,I43,0),IF(15&lt;=Assumptions!$C$13,J43,0),IF(14&lt;=Assumptions!$C$13,K43,0),IF(13&lt;=Assumptions!$C$13,L43,0),IF(12&lt;=Assumptions!$C$13,M43,0),IF(11&lt;=Assumptions!$C$13,N43,0),IF(10&lt;=Assumptions!$C$13,O43,0),IF(9&lt;=Assumptions!$C$13,P43,0),IF(8&lt;=Assumptions!$C$13,Q43,0),IF(7&lt;=Assumptions!$C$13,R43,0),IF(6&lt;=Assumptions!$C$13,S43,0),IF(5&lt;=Assumptions!$C$13,T43,0),IF(4&lt;=Assumptions!$C$13,U43,0),IF(3&lt;=Assumptions!$C$13,V43,0),IF(2&lt;=Assumptions!$C$13,W43,0),IF(1&lt;=Assumptions!$C$13,X43,0))*Assumptions!$C$36,Y34)</x:f>
        <x:v>0</x:v>
      </x:c>
      <x:c r="Z44" s="7" t="n">
        <x:f aca="0">MIN(SUM(IF(23&lt;=Assumptions!$C$13,C43,0),IF(22&lt;=Assumptions!$C$13,D43,0),IF(21&lt;=Assumptions!$C$13,E43,0),IF(20&lt;=Assumptions!$C$13,F43,0),IF(19&lt;=Assumptions!$C$13,G43,0),IF(18&lt;=Assumptions!$C$13,H43,0),IF(17&lt;=Assumptions!$C$13,I43,0),IF(16&lt;=Assumptions!$C$13,J43,0),IF(15&lt;=Assumptions!$C$13,K43,0),IF(14&lt;=Assumptions!$C$13,L43,0),IF(13&lt;=Assumptions!$C$13,M43,0),IF(12&lt;=Assumptions!$C$13,N43,0),IF(11&lt;=Assumptions!$C$13,O43,0),IF(10&lt;=Assumptions!$C$13,P43,0),IF(9&lt;=Assumptions!$C$13,Q43,0),IF(8&lt;=Assumptions!$C$13,R43,0),IF(7&lt;=Assumptions!$C$13,S43,0),IF(6&lt;=Assumptions!$C$13,T43,0),IF(5&lt;=Assumptions!$C$13,U43,0),IF(4&lt;=Assumptions!$C$13,V43,0),IF(3&lt;=Assumptions!$C$13,W43,0),IF(2&lt;=Assumptions!$C$13,X43,0),IF(1&lt;=Assumptions!$C$13,Y43,0))*Assumptions!$C$36,Z34)</x:f>
        <x:v>0</x:v>
      </x:c>
    </x:row>
    <x:row r="45" ht="16.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5" t="s">
        <x:v>330</x:v>
      </x:c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16.5" hidden="0" customHeight="1">
      <x:c r="A47" s="1" t="s">
        <x:v>331</x:v>
      </x:c>
      <x:c r="B47" s="1" t="s">
        <x:v>78</x:v>
      </x:c>
      <x:c r="C47" s="12" t="n">
        <x:f aca="0">C31*Assumptions!$C$6+C32*Assumptions!$C$7+C33*Assumptions!$C$8+C42*(Assumptions!$C$6*Assumptions!$C$33+Assumptions!$C$7*Assumptions!$C$34+Assumptions!$C$8*Assumptions!$C$35)</x:f>
        <x:v>203175</x:v>
      </x:c>
      <x:c r="D47" s="12" t="n">
        <x:f aca="0">D31*Assumptions!$C$6+D32*Assumptions!$C$7+D33*Assumptions!$C$8+D42*(Assumptions!$C$6*Assumptions!$C$33+Assumptions!$C$7*Assumptions!$C$34+Assumptions!$C$8*Assumptions!$C$35)</x:f>
        <x:v>143586.67500000002</x:v>
      </x:c>
      <x:c r="E47" s="12" t="n">
        <x:f aca="0">E31*Assumptions!$C$6+E32*Assumptions!$C$7+E33*Assumptions!$C$8+E42*(Assumptions!$C$6*Assumptions!$C$33+Assumptions!$C$7*Assumptions!$C$34+Assumptions!$C$8*Assumptions!$C$35)</x:f>
        <x:v>195708.02850000001</x:v>
      </x:c>
      <x:c r="F47" s="12" t="n">
        <x:f aca="0">F31*Assumptions!$C$6+F32*Assumptions!$C$7+F33*Assumptions!$C$8+F42*(Assumptions!$C$6*Assumptions!$C$33+Assumptions!$C$7*Assumptions!$C$34+Assumptions!$C$8*Assumptions!$C$35)</x:f>
        <x:v>247182.83967600003</x:v>
      </x:c>
      <x:c r="G47" s="12" t="n">
        <x:f aca="0">G31*Assumptions!$C$6+G32*Assumptions!$C$7+G33*Assumptions!$C$8+G42*(Assumptions!$C$6*Assumptions!$C$33+Assumptions!$C$7*Assumptions!$C$34+Assumptions!$C$8*Assumptions!$C$35)</x:f>
        <x:v>298563.269186736</x:v>
      </x:c>
      <x:c r="H47" s="12" t="n">
        <x:f aca="0">H31*Assumptions!$C$6+H32*Assumptions!$C$7+H33*Assumptions!$C$8+H42*(Assumptions!$C$6*Assumptions!$C$33+Assumptions!$C$7*Assumptions!$C$34+Assumptions!$C$8*Assumptions!$C$35)</x:f>
        <x:v>350015.35777128494</x:v>
      </x:c>
      <x:c r="I47" s="12" t="n">
        <x:f aca="0">I31*Assumptions!$C$6+I32*Assumptions!$C$7+I33*Assumptions!$C$8+I42*(Assumptions!$C$6*Assumptions!$C$33+Assumptions!$C$7*Assumptions!$C$34+Assumptions!$C$8*Assumptions!$C$35)</x:f>
        <x:v>401702.5195770478</x:v>
      </x:c>
      <x:c r="J47" s="12" t="n">
        <x:f aca="0">J31*Assumptions!$C$6+J32*Assumptions!$C$7+J33*Assumptions!$C$8+J42*(Assumptions!$C$6*Assumptions!$C$33+Assumptions!$C$7*Assumptions!$C$34+Assumptions!$C$8*Assumptions!$C$35)</x:f>
        <x:v>453786.1102623979</x:v>
      </x:c>
      <x:c r="K47" s="12" t="n">
        <x:f aca="0">K31*Assumptions!$C$6+K32*Assumptions!$C$7+K33*Assumptions!$C$8+K42*(Assumptions!$C$6*Assumptions!$C$33+Assumptions!$C$7*Assumptions!$C$34+Assumptions!$C$8*Assumptions!$C$35)</x:f>
        <x:v>506425.97874079976</x:v>
      </x:c>
      <x:c r="L47" s="12" t="n">
        <x:f aca="0">L31*Assumptions!$C$6+L32*Assumptions!$C$7+L33*Assumptions!$C$8+L42*(Assumptions!$C$6*Assumptions!$C$33+Assumptions!$C$7*Assumptions!$C$34+Assumptions!$C$8*Assumptions!$C$35)</x:f>
        <x:v>559781.0046133437</x:v>
      </x:c>
      <x:c r="M47" s="12" t="n">
        <x:f aca="0">M31*Assumptions!$C$6+M32*Assumptions!$C$7+M33*Assumptions!$C$8+M42*(Assumptions!$C$6*Assumptions!$C$33+Assumptions!$C$7*Assumptions!$C$34+Assumptions!$C$8*Assumptions!$C$35)</x:f>
        <x:v>614009.6232556426</x:v>
      </x:c>
      <x:c r="N47" s="12" t="n">
        <x:f aca="0">N31*Assumptions!$C$6+N32*Assumptions!$C$7+N33*Assumptions!$C$8+N42*(Assumptions!$C$6*Assumptions!$C$33+Assumptions!$C$7*Assumptions!$C$34+Assumptions!$C$8*Assumptions!$C$35)</x:f>
        <x:v>669270.340451712</x:v>
      </x:c>
      <x:c r="O47" s="12" t="n">
        <x:f aca="0">O31*Assumptions!$C$6+O32*Assumptions!$C$7+O33*Assumptions!$C$8+O42*(Assumptions!$C$6*Assumptions!$C$33+Assumptions!$C$7*Assumptions!$C$34+Assumptions!$C$8*Assumptions!$C$35)</x:f>
        <x:v>725722.2384014544</x:v>
      </x:c>
      <x:c r="P47" s="12" t="n">
        <x:f aca="0">P31*Assumptions!$C$6+P32*Assumptions!$C$7+P33*Assumptions!$C$8+P42*(Assumptions!$C$6*Assumptions!$C$33+Assumptions!$C$7*Assumptions!$C$34+Assumptions!$C$8*Assumptions!$C$35)</x:f>
        <x:v>783525.474869346</x:v>
      </x:c>
      <x:c r="Q47" s="12" t="n">
        <x:f aca="0">Q31*Assumptions!$C$6+Q32*Assumptions!$C$7+Q33*Assumptions!$C$8+Q42*(Assumptions!$C$6*Assumptions!$C$33+Assumptions!$C$7*Assumptions!$C$34+Assumptions!$C$8*Assumptions!$C$35)</x:f>
        <x:v>842841.7771895719</x:v>
      </x:c>
      <x:c r="R47" s="12" t="n">
        <x:f aca="0">R31*Assumptions!$C$6+R32*Assumptions!$C$7+R33*Assumptions!$C$8+R42*(Assumptions!$C$6*Assumptions!$C$33+Assumptions!$C$7*Assumptions!$C$34+Assumptions!$C$8*Assumptions!$C$35)</x:f>
        <x:v>903834.9327968963</x:v>
      </x:c>
      <x:c r="S47" s="12" t="n">
        <x:f aca="0">S31*Assumptions!$C$6+S32*Assumptions!$C$7+S33*Assumptions!$C$8+S42*(Assumptions!$C$6*Assumptions!$C$33+Assumptions!$C$7*Assumptions!$C$34+Assumptions!$C$8*Assumptions!$C$35)</x:f>
        <x:v>966671.2779127249</x:v>
      </x:c>
      <x:c r="T47" s="12" t="n">
        <x:f aca="0">T31*Assumptions!$C$6+T32*Assumptions!$C$7+T33*Assumptions!$C$8+T42*(Assumptions!$C$6*Assumptions!$C$33+Assumptions!$C$7*Assumptions!$C$34+Assumptions!$C$8*Assumptions!$C$35)</x:f>
        <x:v>1031520.1859818819</x:v>
      </x:c>
      <x:c r="U47" s="12" t="n">
        <x:f aca="0">U31*Assumptions!$C$6+U32*Assumptions!$C$7+U33*Assumptions!$C$8+U42*(Assumptions!$C$6*Assumptions!$C$33+Assumptions!$C$7*Assumptions!$C$34+Assumptions!$C$8*Assumptions!$C$35)</x:f>
        <x:v>1098554.5574273914</x:v>
      </x:c>
      <x:c r="V47" s="12" t="n">
        <x:f aca="0">V31*Assumptions!$C$6+V32*Assumptions!$C$7+V33*Assumptions!$C$8+V42*(Assumptions!$C$6*Assumptions!$C$33+Assumptions!$C$7*Assumptions!$C$34+Assumptions!$C$8*Assumptions!$C$35)</x:f>
        <x:v>1167951.3122678061</x:v>
      </x:c>
      <x:c r="W47" s="12" t="n">
        <x:f aca="0">W31*Assumptions!$C$6+W32*Assumptions!$C$7+W33*Assumptions!$C$8+W42*(Assumptions!$C$6*Assumptions!$C$33+Assumptions!$C$7*Assumptions!$C$34+Assumptions!$C$8*Assumptions!$C$35)</x:f>
        <x:v>1239891.8871242222</x:v>
      </x:c>
      <x:c r="X47" s="12" t="n">
        <x:f aca="0">X31*Assumptions!$C$6+X32*Assumptions!$C$7+X33*Assumptions!$C$8+X42*(Assumptions!$C$6*Assumptions!$C$33+Assumptions!$C$7*Assumptions!$C$34+Assumptions!$C$8*Assumptions!$C$35)</x:f>
        <x:v>1314562.7381319057</x:v>
      </x:c>
      <x:c r="Y47" s="12" t="n">
        <x:f aca="0">Y31*Assumptions!$C$6+Y32*Assumptions!$C$7+Y33*Assumptions!$C$8+Y42*(Assumptions!$C$6*Assumptions!$C$33+Assumptions!$C$7*Assumptions!$C$34+Assumptions!$C$8*Assumptions!$C$35)</x:f>
        <x:v>1392155.8512642793</x:v>
      </x:c>
      <x:c r="Z47" s="12" t="n">
        <x:f aca="0">Z31*Assumptions!$C$6+Z32*Assumptions!$C$7+Z33*Assumptions!$C$8+Z42*(Assumptions!$C$6*Assumptions!$C$33+Assumptions!$C$7*Assumptions!$C$34+Assumptions!$C$8*Assumptions!$C$35)</x:f>
        <x:v>1472869.2615748215</x:v>
      </x:c>
    </x:row>
    <x:row r="48" ht="16.5" hidden="0" customHeight="1">
      <x:c r="A48" s="1" t="s">
        <x:v>332</x:v>
      </x:c>
      <x:c r="B48" s="1" t="s">
        <x:v>78</x:v>
      </x:c>
      <x:c r="C48" s="12" t="n">
        <x:f aca="0">C42*(Assumptions!$C$6*Assumptions!$C$33+Assumptions!$C$7*Assumptions!$C$34+Assumptions!$C$8*Assumptions!$C$35)</x:f>
        <x:v>203175</x:v>
      </x:c>
      <x:c r="D48" s="12" t="n">
        <x:f aca="0">D42*(Assumptions!$C$6*Assumptions!$C$33+Assumptions!$C$7*Assumptions!$C$34+Assumptions!$C$8*Assumptions!$C$35)</x:f>
        <x:v>0</x:v>
      </x:c>
      <x:c r="E48" s="12" t="n">
        <x:f aca="0">E42*(Assumptions!$C$6*Assumptions!$C$33+Assumptions!$C$7*Assumptions!$C$34+Assumptions!$C$8*Assumptions!$C$35)</x:f>
        <x:v>0</x:v>
      </x:c>
      <x:c r="F48" s="12" t="n">
        <x:f aca="0">F42*(Assumptions!$C$6*Assumptions!$C$33+Assumptions!$C$7*Assumptions!$C$34+Assumptions!$C$8*Assumptions!$C$35)</x:f>
        <x:v>0</x:v>
      </x:c>
      <x:c r="G48" s="12" t="n">
        <x:f aca="0">G42*(Assumptions!$C$6*Assumptions!$C$33+Assumptions!$C$7*Assumptions!$C$34+Assumptions!$C$8*Assumptions!$C$35)</x:f>
        <x:v>0</x:v>
      </x:c>
      <x:c r="H48" s="12" t="n">
        <x:f aca="0">H42*(Assumptions!$C$6*Assumptions!$C$33+Assumptions!$C$7*Assumptions!$C$34+Assumptions!$C$8*Assumptions!$C$35)</x:f>
        <x:v>0</x:v>
      </x:c>
      <x:c r="I48" s="12" t="n">
        <x:f aca="0">I42*(Assumptions!$C$6*Assumptions!$C$33+Assumptions!$C$7*Assumptions!$C$34+Assumptions!$C$8*Assumptions!$C$35)</x:f>
        <x:v>0</x:v>
      </x:c>
      <x:c r="J48" s="12" t="n">
        <x:f aca="0">J42*(Assumptions!$C$6*Assumptions!$C$33+Assumptions!$C$7*Assumptions!$C$34+Assumptions!$C$8*Assumptions!$C$35)</x:f>
        <x:v>0</x:v>
      </x:c>
      <x:c r="K48" s="12" t="n">
        <x:f aca="0">K42*(Assumptions!$C$6*Assumptions!$C$33+Assumptions!$C$7*Assumptions!$C$34+Assumptions!$C$8*Assumptions!$C$35)</x:f>
        <x:v>0</x:v>
      </x:c>
      <x:c r="L48" s="12" t="n">
        <x:f aca="0">L42*(Assumptions!$C$6*Assumptions!$C$33+Assumptions!$C$7*Assumptions!$C$34+Assumptions!$C$8*Assumptions!$C$35)</x:f>
        <x:v>0</x:v>
      </x:c>
      <x:c r="M48" s="12" t="n">
        <x:f aca="0">M42*(Assumptions!$C$6*Assumptions!$C$33+Assumptions!$C$7*Assumptions!$C$34+Assumptions!$C$8*Assumptions!$C$35)</x:f>
        <x:v>0</x:v>
      </x:c>
      <x:c r="N48" s="12" t="n">
        <x:f aca="0">N42*(Assumptions!$C$6*Assumptions!$C$33+Assumptions!$C$7*Assumptions!$C$34+Assumptions!$C$8*Assumptions!$C$35)</x:f>
        <x:v>0</x:v>
      </x:c>
      <x:c r="O48" s="12" t="n">
        <x:f aca="0">O42*(Assumptions!$C$6*Assumptions!$C$33+Assumptions!$C$7*Assumptions!$C$34+Assumptions!$C$8*Assumptions!$C$35)</x:f>
        <x:v>0</x:v>
      </x:c>
      <x:c r="P48" s="12" t="n">
        <x:f aca="0">P42*(Assumptions!$C$6*Assumptions!$C$33+Assumptions!$C$7*Assumptions!$C$34+Assumptions!$C$8*Assumptions!$C$35)</x:f>
        <x:v>0</x:v>
      </x:c>
      <x:c r="Q48" s="12" t="n">
        <x:f aca="0">Q42*(Assumptions!$C$6*Assumptions!$C$33+Assumptions!$C$7*Assumptions!$C$34+Assumptions!$C$8*Assumptions!$C$35)</x:f>
        <x:v>0</x:v>
      </x:c>
      <x:c r="R48" s="12" t="n">
        <x:f aca="0">R42*(Assumptions!$C$6*Assumptions!$C$33+Assumptions!$C$7*Assumptions!$C$34+Assumptions!$C$8*Assumptions!$C$35)</x:f>
        <x:v>0</x:v>
      </x:c>
      <x:c r="S48" s="12" t="n">
        <x:f aca="0">S42*(Assumptions!$C$6*Assumptions!$C$33+Assumptions!$C$7*Assumptions!$C$34+Assumptions!$C$8*Assumptions!$C$35)</x:f>
        <x:v>0</x:v>
      </x:c>
      <x:c r="T48" s="12" t="n">
        <x:f aca="0">T42*(Assumptions!$C$6*Assumptions!$C$33+Assumptions!$C$7*Assumptions!$C$34+Assumptions!$C$8*Assumptions!$C$35)</x:f>
        <x:v>0</x:v>
      </x:c>
      <x:c r="U48" s="12" t="n">
        <x:f aca="0">U42*(Assumptions!$C$6*Assumptions!$C$33+Assumptions!$C$7*Assumptions!$C$34+Assumptions!$C$8*Assumptions!$C$35)</x:f>
        <x:v>0</x:v>
      </x:c>
      <x:c r="V48" s="12" t="n">
        <x:f aca="0">V42*(Assumptions!$C$6*Assumptions!$C$33+Assumptions!$C$7*Assumptions!$C$34+Assumptions!$C$8*Assumptions!$C$35)</x:f>
        <x:v>0</x:v>
      </x:c>
      <x:c r="W48" s="12" t="n">
        <x:f aca="0">W42*(Assumptions!$C$6*Assumptions!$C$33+Assumptions!$C$7*Assumptions!$C$34+Assumptions!$C$8*Assumptions!$C$35)</x:f>
        <x:v>0</x:v>
      </x:c>
      <x:c r="X48" s="12" t="n">
        <x:f aca="0">X42*(Assumptions!$C$6*Assumptions!$C$33+Assumptions!$C$7*Assumptions!$C$34+Assumptions!$C$8*Assumptions!$C$35)</x:f>
        <x:v>0</x:v>
      </x:c>
      <x:c r="Y48" s="12" t="n">
        <x:f aca="0">Y42*(Assumptions!$C$6*Assumptions!$C$33+Assumptions!$C$7*Assumptions!$C$34+Assumptions!$C$8*Assumptions!$C$35)</x:f>
        <x:v>0</x:v>
      </x:c>
      <x:c r="Z48" s="12" t="n">
        <x:f aca="0">Z42*(Assumptions!$C$6*Assumptions!$C$33+Assumptions!$C$7*Assumptions!$C$34+Assumptions!$C$8*Assumptions!$C$35)</x:f>
        <x:v>0</x:v>
      </x:c>
    </x:row>
    <x:row r="49" ht="16.5" hidden="0" customHeight="1">
      <x:c r="A49" s="1" t="s">
        <x:v>333</x:v>
      </x:c>
      <x:c r="B49" s="1" t="s">
        <x:v>78</x:v>
      </x:c>
      <x:c r="C49" s="12" t="n">
        <x:f aca="0">MIN(C44*(Assumptions!$C$6*Assumptions!$C$33+Assumptions!$C$7*Assumptions!$C$34+Assumptions!$C$8*Assumptions!$C$35),C47-C48)</x:f>
        <x:v>0</x:v>
      </x:c>
      <x:c r="D49" s="12" t="n">
        <x:f aca="0">MIN(D44*(Assumptions!$C$6*Assumptions!$C$33+Assumptions!$C$7*Assumptions!$C$34+Assumptions!$C$8*Assumptions!$C$35),D47-D48)</x:f>
        <x:v>1254.4024499999996</x:v>
      </x:c>
      <x:c r="E49" s="12" t="n">
        <x:f aca="0">MIN(E44*(Assumptions!$C$6*Assumptions!$C$33+Assumptions!$C$7*Assumptions!$C$34+Assumptions!$C$8*Assumptions!$C$35),E47-E48)</x:f>
        <x:v>105.36980579999998</x:v>
      </x:c>
      <x:c r="F49" s="12" t="n">
        <x:f aca="0">MIN(F44*(Assumptions!$C$6*Assumptions!$C$33+Assumptions!$C$7*Assumptions!$C$34+Assumptions!$C$8*Assumptions!$C$35),F47-F48)</x:f>
        <x:v>0</x:v>
      </x:c>
      <x:c r="G49" s="12" t="n">
        <x:f aca="0">MIN(G44*(Assumptions!$C$6*Assumptions!$C$33+Assumptions!$C$7*Assumptions!$C$34+Assumptions!$C$8*Assumptions!$C$35),G47-G48)</x:f>
        <x:v>0</x:v>
      </x:c>
      <x:c r="H49" s="12" t="n">
        <x:f aca="0">MIN(H44*(Assumptions!$C$6*Assumptions!$C$33+Assumptions!$C$7*Assumptions!$C$34+Assumptions!$C$8*Assumptions!$C$35),H47-H48)</x:f>
        <x:v>0</x:v>
      </x:c>
      <x:c r="I49" s="12" t="n">
        <x:f aca="0">MIN(I44*(Assumptions!$C$6*Assumptions!$C$33+Assumptions!$C$7*Assumptions!$C$34+Assumptions!$C$8*Assumptions!$C$35),I47-I48)</x:f>
        <x:v>0</x:v>
      </x:c>
      <x:c r="J49" s="12" t="n">
        <x:f aca="0">MIN(J44*(Assumptions!$C$6*Assumptions!$C$33+Assumptions!$C$7*Assumptions!$C$34+Assumptions!$C$8*Assumptions!$C$35),J47-J48)</x:f>
        <x:v>0</x:v>
      </x:c>
      <x:c r="K49" s="12" t="n">
        <x:f aca="0">MIN(K44*(Assumptions!$C$6*Assumptions!$C$33+Assumptions!$C$7*Assumptions!$C$34+Assumptions!$C$8*Assumptions!$C$35),K47-K48)</x:f>
        <x:v>0</x:v>
      </x:c>
      <x:c r="L49" s="12" t="n">
        <x:f aca="0">MIN(L44*(Assumptions!$C$6*Assumptions!$C$33+Assumptions!$C$7*Assumptions!$C$34+Assumptions!$C$8*Assumptions!$C$35),L47-L48)</x:f>
        <x:v>0</x:v>
      </x:c>
      <x:c r="M49" s="12" t="n">
        <x:f aca="0">MIN(M44*(Assumptions!$C$6*Assumptions!$C$33+Assumptions!$C$7*Assumptions!$C$34+Assumptions!$C$8*Assumptions!$C$35),M47-M48)</x:f>
        <x:v>0</x:v>
      </x:c>
      <x:c r="N49" s="12" t="n">
        <x:f aca="0">MIN(N44*(Assumptions!$C$6*Assumptions!$C$33+Assumptions!$C$7*Assumptions!$C$34+Assumptions!$C$8*Assumptions!$C$35),N47-N48)</x:f>
        <x:v>0</x:v>
      </x:c>
      <x:c r="O49" s="12" t="n">
        <x:f aca="0">MIN(O44*(Assumptions!$C$6*Assumptions!$C$33+Assumptions!$C$7*Assumptions!$C$34+Assumptions!$C$8*Assumptions!$C$35),O47-O48)</x:f>
        <x:v>0</x:v>
      </x:c>
      <x:c r="P49" s="12" t="n">
        <x:f aca="0">MIN(P44*(Assumptions!$C$6*Assumptions!$C$33+Assumptions!$C$7*Assumptions!$C$34+Assumptions!$C$8*Assumptions!$C$35),P47-P48)</x:f>
        <x:v>0</x:v>
      </x:c>
      <x:c r="Q49" s="12" t="n">
        <x:f aca="0">MIN(Q44*(Assumptions!$C$6*Assumptions!$C$33+Assumptions!$C$7*Assumptions!$C$34+Assumptions!$C$8*Assumptions!$C$35),Q47-Q48)</x:f>
        <x:v>0</x:v>
      </x:c>
      <x:c r="R49" s="12" t="n">
        <x:f aca="0">MIN(R44*(Assumptions!$C$6*Assumptions!$C$33+Assumptions!$C$7*Assumptions!$C$34+Assumptions!$C$8*Assumptions!$C$35),R47-R48)</x:f>
        <x:v>0</x:v>
      </x:c>
      <x:c r="S49" s="12" t="n">
        <x:f aca="0">MIN(S44*(Assumptions!$C$6*Assumptions!$C$33+Assumptions!$C$7*Assumptions!$C$34+Assumptions!$C$8*Assumptions!$C$35),S47-S48)</x:f>
        <x:v>0</x:v>
      </x:c>
      <x:c r="T49" s="12" t="n">
        <x:f aca="0">MIN(T44*(Assumptions!$C$6*Assumptions!$C$33+Assumptions!$C$7*Assumptions!$C$34+Assumptions!$C$8*Assumptions!$C$35),T47-T48)</x:f>
        <x:v>0</x:v>
      </x:c>
      <x:c r="U49" s="12" t="n">
        <x:f aca="0">MIN(U44*(Assumptions!$C$6*Assumptions!$C$33+Assumptions!$C$7*Assumptions!$C$34+Assumptions!$C$8*Assumptions!$C$35),U47-U48)</x:f>
        <x:v>0</x:v>
      </x:c>
      <x:c r="V49" s="12" t="n">
        <x:f aca="0">MIN(V44*(Assumptions!$C$6*Assumptions!$C$33+Assumptions!$C$7*Assumptions!$C$34+Assumptions!$C$8*Assumptions!$C$35),V47-V48)</x:f>
        <x:v>0</x:v>
      </x:c>
      <x:c r="W49" s="12" t="n">
        <x:f aca="0">MIN(W44*(Assumptions!$C$6*Assumptions!$C$33+Assumptions!$C$7*Assumptions!$C$34+Assumptions!$C$8*Assumptions!$C$35),W47-W48)</x:f>
        <x:v>0</x:v>
      </x:c>
      <x:c r="X49" s="12" t="n">
        <x:f aca="0">MIN(X44*(Assumptions!$C$6*Assumptions!$C$33+Assumptions!$C$7*Assumptions!$C$34+Assumptions!$C$8*Assumptions!$C$35),X47-X48)</x:f>
        <x:v>0</x:v>
      </x:c>
      <x:c r="Y49" s="12" t="n">
        <x:f aca="0">MIN(Y44*(Assumptions!$C$6*Assumptions!$C$33+Assumptions!$C$7*Assumptions!$C$34+Assumptions!$C$8*Assumptions!$C$35),Y47-Y48)</x:f>
        <x:v>0</x:v>
      </x:c>
      <x:c r="Z49" s="12" t="n">
        <x:f aca="0">MIN(Z44*(Assumptions!$C$6*Assumptions!$C$33+Assumptions!$C$7*Assumptions!$C$34+Assumptions!$C$8*Assumptions!$C$35),Z47-Z48)</x:f>
        <x:v>0</x:v>
      </x:c>
    </x:row>
    <x:row r="50" ht="16.5" hidden="0" customHeight="1">
      <x:c r="A50" s="10" t="s">
        <x:v>334</x:v>
      </x:c>
      <x:c r="B50" s="10" t="s">
        <x:v>78</x:v>
      </x:c>
      <x:c r="C50" s="34" t="n">
        <x:f aca="0">C47-C48-C49</x:f>
        <x:v>0</x:v>
      </x:c>
      <x:c r="D50" s="34" t="n">
        <x:f aca="0">D47-D48-D49</x:f>
        <x:v>142332.27255000002</x:v>
      </x:c>
      <x:c r="E50" s="34" t="n">
        <x:f aca="0">E47-E48-E49</x:f>
        <x:v>195602.6586942</x:v>
      </x:c>
      <x:c r="F50" s="34" t="n">
        <x:f aca="0">F47-F48-F49</x:f>
        <x:v>247182.83967600003</x:v>
      </x:c>
      <x:c r="G50" s="34" t="n">
        <x:f aca="0">G47-G48-G49</x:f>
        <x:v>298563.269186736</x:v>
      </x:c>
      <x:c r="H50" s="34" t="n">
        <x:f aca="0">H47-H48-H49</x:f>
        <x:v>350015.35777128494</x:v>
      </x:c>
      <x:c r="I50" s="34" t="n">
        <x:f aca="0">I47-I48-I49</x:f>
        <x:v>401702.5195770478</x:v>
      </x:c>
      <x:c r="J50" s="34" t="n">
        <x:f aca="0">J47-J48-J49</x:f>
        <x:v>453786.1102623979</x:v>
      </x:c>
      <x:c r="K50" s="34" t="n">
        <x:f aca="0">K47-K48-K49</x:f>
        <x:v>506425.97874079976</x:v>
      </x:c>
      <x:c r="L50" s="34" t="n">
        <x:f aca="0">L47-L48-L49</x:f>
        <x:v>559781.0046133437</x:v>
      </x:c>
      <x:c r="M50" s="34" t="n">
        <x:f aca="0">M47-M48-M49</x:f>
        <x:v>614009.6232556426</x:v>
      </x:c>
      <x:c r="N50" s="34" t="n">
        <x:f aca="0">N47-N48-N49</x:f>
        <x:v>669270.340451712</x:v>
      </x:c>
      <x:c r="O50" s="34" t="n">
        <x:f aca="0">O47-O48-O49</x:f>
        <x:v>725722.2384014544</x:v>
      </x:c>
      <x:c r="P50" s="34" t="n">
        <x:f aca="0">P47-P48-P49</x:f>
        <x:v>783525.474869346</x:v>
      </x:c>
      <x:c r="Q50" s="34" t="n">
        <x:f aca="0">Q47-Q48-Q49</x:f>
        <x:v>842841.7771895719</x:v>
      </x:c>
      <x:c r="R50" s="34" t="n">
        <x:f aca="0">R47-R48-R49</x:f>
        <x:v>903834.9327968963</x:v>
      </x:c>
      <x:c r="S50" s="34" t="n">
        <x:f aca="0">S47-S48-S49</x:f>
        <x:v>966671.2779127249</x:v>
      </x:c>
      <x:c r="T50" s="34" t="n">
        <x:f aca="0">T47-T48-T49</x:f>
        <x:v>1031520.1859818819</x:v>
      </x:c>
      <x:c r="U50" s="34" t="n">
        <x:f aca="0">U47-U48-U49</x:f>
        <x:v>1098554.5574273914</x:v>
      </x:c>
      <x:c r="V50" s="34" t="n">
        <x:f aca="0">V47-V48-V49</x:f>
        <x:v>1167951.3122678061</x:v>
      </x:c>
      <x:c r="W50" s="34" t="n">
        <x:f aca="0">W47-W48-W49</x:f>
        <x:v>1239891.8871242222</x:v>
      </x:c>
      <x:c r="X50" s="34" t="n">
        <x:f aca="0">X47-X48-X49</x:f>
        <x:v>1314562.7381319057</x:v>
      </x:c>
      <x:c r="Y50" s="34" t="n">
        <x:f aca="0">Y47-Y48-Y49</x:f>
        <x:v>1392155.8512642793</x:v>
      </x:c>
      <x:c r="Z50" s="34" t="n">
        <x:f aca="0">Z47-Z48-Z49</x:f>
        <x:v>1472869.2615748215</x:v>
      </x:c>
    </x:row>
    <x:row r="51" ht="16.5" hidden="0" customHeight="1">
      <x:c r="A51" s="1" t="s">
        <x:v>335</x:v>
      </x:c>
      <x:c r="B51" s="1" t="s">
        <x:v>78</x:v>
      </x:c>
      <x:c r="C51" s="12" t="n">
        <x:f aca="0">C50*Assumptions!$C$70/(1+Assumptions!$C$70)</x:f>
        <x:v>0</x:v>
      </x:c>
      <x:c r="D51" s="12" t="n">
        <x:f aca="0">D50*Assumptions!$C$70/(1+Assumptions!$C$70)</x:f>
        <x:v>12939.297504545457</x:v>
      </x:c>
      <x:c r="E51" s="12" t="n">
        <x:f aca="0">E50*Assumptions!$C$70/(1+Assumptions!$C$70)</x:f>
        <x:v>17782.059881290912</x:v>
      </x:c>
      <x:c r="F51" s="12" t="n">
        <x:f aca="0">F50*Assumptions!$C$70/(1+Assumptions!$C$70)</x:f>
        <x:v>22471.16724327273</x:v>
      </x:c>
      <x:c r="G51" s="12" t="n">
        <x:f aca="0">G50*Assumptions!$C$70/(1+Assumptions!$C$70)</x:f>
        <x:v>27142.115380612366</x:v>
      </x:c>
      <x:c r="H51" s="12" t="n">
        <x:f aca="0">H50*Assumptions!$C$70/(1+Assumptions!$C$70)</x:f>
        <x:v>31819.577979207723</x:v>
      </x:c>
      <x:c r="I51" s="12" t="n">
        <x:f aca="0">I50*Assumptions!$C$70/(1+Assumptions!$C$70)</x:f>
        <x:v>36518.410870640706</x:v>
      </x:c>
      <x:c r="J51" s="12" t="n">
        <x:f aca="0">J50*Assumptions!$C$70/(1+Assumptions!$C$70)</x:f>
        <x:v>41253.28275112708</x:v>
      </x:c>
      <x:c r="K51" s="12" t="n">
        <x:f aca="0">K50*Assumptions!$C$70/(1+Assumptions!$C$70)</x:f>
        <x:v>46038.7253400727</x:v>
      </x:c>
      <x:c r="L51" s="12" t="n">
        <x:f aca="0">L50*Assumptions!$C$70/(1+Assumptions!$C$70)</x:f>
        <x:v>50889.1822375767</x:v>
      </x:c>
      <x:c r="M51" s="12" t="n">
        <x:f aca="0">M50*Assumptions!$C$70/(1+Assumptions!$C$70)</x:f>
        <x:v>55819.05665960387</x:v>
      </x:c>
      <x:c r="N51" s="12" t="n">
        <x:f aca="0">N50*Assumptions!$C$70/(1+Assumptions!$C$70)</x:f>
        <x:v>60842.75822288291</x:v>
      </x:c>
      <x:c r="O51" s="12" t="n">
        <x:f aca="0">O50*Assumptions!$C$70/(1+Assumptions!$C$70)</x:f>
        <x:v>65974.74894558676</x:v>
      </x:c>
      <x:c r="P51" s="12" t="n">
        <x:f aca="0">P50*Assumptions!$C$70/(1+Assumptions!$C$70)</x:f>
        <x:v>71229.588624486</x:v>
      </x:c>
      <x:c r="Q51" s="12" t="n">
        <x:f aca="0">Q50*Assumptions!$C$70/(1+Assumptions!$C$70)</x:f>
        <x:v>76621.97974450653</x:v>
      </x:c>
      <x:c r="R51" s="12" t="n">
        <x:f aca="0">R50*Assumptions!$C$70/(1+Assumptions!$C$70)</x:f>
        <x:v>82166.81207244511</x:v>
      </x:c>
      <x:c r="S51" s="12" t="n">
        <x:f aca="0">S50*Assumptions!$C$70/(1+Assumptions!$C$70)</x:f>
        <x:v>87879.20708297499</x:v>
      </x:c>
      <x:c r="T51" s="12" t="n">
        <x:f aca="0">T50*Assumptions!$C$70/(1+Assumptions!$C$70)</x:f>
        <x:v>93774.56236198926</x:v>
      </x:c>
      <x:c r="U51" s="12" t="n">
        <x:f aca="0">U50*Assumptions!$C$70/(1+Assumptions!$C$70)</x:f>
        <x:v>99868.59612976285</x:v>
      </x:c>
      <x:c r="V51" s="12" t="n">
        <x:f aca="0">V50*Assumptions!$C$70/(1+Assumptions!$C$70)</x:f>
        <x:v>106177.39202434602</x:v>
      </x:c>
      <x:c r="W51" s="12" t="n">
        <x:f aca="0">W50*Assumptions!$C$70/(1+Assumptions!$C$70)</x:f>
        <x:v>112717.4442840202</x:v>
      </x:c>
      <x:c r="X51" s="12" t="n">
        <x:f aca="0">X50*Assumptions!$C$70/(1+Assumptions!$C$70)</x:f>
        <x:v>119505.70346653688</x:v>
      </x:c>
      <x:c r="Y51" s="12" t="n">
        <x:f aca="0">Y50*Assumptions!$C$70/(1+Assumptions!$C$70)</x:f>
        <x:v>126559.6228422072</x:v>
      </x:c>
      <x:c r="Z51" s="12" t="n">
        <x:f aca="0">Z50*Assumptions!$C$70/(1+Assumptions!$C$70)</x:f>
        <x:v>133897.20559771106</x:v>
      </x:c>
    </x:row>
    <x:row r="52" ht="16.5" hidden="0" customHeight="1">
      <x:c r="A52" s="10" t="s">
        <x:v>336</x:v>
      </x:c>
      <x:c r="B52" s="10" t="s">
        <x:v>78</x:v>
      </x:c>
      <x:c r="C52" s="34" t="n">
        <x:f aca="0">C50-C51</x:f>
        <x:v>0</x:v>
      </x:c>
      <x:c r="D52" s="34" t="n">
        <x:f aca="0">D50-D51</x:f>
        <x:v>129392.97504545457</x:v>
      </x:c>
      <x:c r="E52" s="34" t="n">
        <x:f aca="0">E50-E51</x:f>
        <x:v>177820.5988129091</x:v>
      </x:c>
      <x:c r="F52" s="34" t="n">
        <x:f aca="0">F50-F51</x:f>
        <x:v>224711.6724327273</x:v>
      </x:c>
      <x:c r="G52" s="34" t="n">
        <x:f aca="0">G50-G51</x:f>
        <x:v>271421.15380612365</x:v>
      </x:c>
      <x:c r="H52" s="34" t="n">
        <x:f aca="0">H50-H51</x:f>
        <x:v>318195.7797920772</x:v>
      </x:c>
      <x:c r="I52" s="34" t="n">
        <x:f aca="0">I50-I51</x:f>
        <x:v>365184.1087064071</x:v>
      </x:c>
      <x:c r="J52" s="34" t="n">
        <x:f aca="0">J50-J51</x:f>
        <x:v>412532.8275112708</x:v>
      </x:c>
      <x:c r="K52" s="34" t="n">
        <x:f aca="0">K50-K51</x:f>
        <x:v>460387.25340072706</x:v>
      </x:c>
      <x:c r="L52" s="34" t="n">
        <x:f aca="0">L50-L51</x:f>
        <x:v>508891.82237576705</x:v>
      </x:c>
      <x:c r="M52" s="34" t="n">
        <x:f aca="0">M50-M51</x:f>
        <x:v>558190.5665960388</x:v>
      </x:c>
      <x:c r="N52" s="34" t="n">
        <x:f aca="0">N50-N51</x:f>
        <x:v>608427.5822288292</x:v>
      </x:c>
      <x:c r="O52" s="34" t="n">
        <x:f aca="0">O50-O51</x:f>
        <x:v>659747.4894558677</x:v>
      </x:c>
      <x:c r="P52" s="34" t="n">
        <x:f aca="0">P50-P51</x:f>
        <x:v>712295.88624486</x:v>
      </x:c>
      <x:c r="Q52" s="34" t="n">
        <x:f aca="0">Q50-Q51</x:f>
        <x:v>766219.7974450653</x:v>
      </x:c>
      <x:c r="R52" s="34" t="n">
        <x:f aca="0">R50-R51</x:f>
        <x:v>821668.1207244513</x:v>
      </x:c>
      <x:c r="S52" s="34" t="n">
        <x:f aca="0">S50-S51</x:f>
        <x:v>878792.0708297499</x:v>
      </x:c>
      <x:c r="T52" s="34" t="n">
        <x:f aca="0">T50-T51</x:f>
        <x:v>937745.6236198926</x:v>
      </x:c>
      <x:c r="U52" s="34" t="n">
        <x:f aca="0">U50-U51</x:f>
        <x:v>998685.9612976286</x:v>
      </x:c>
      <x:c r="V52" s="34" t="n">
        <x:f aca="0">V50-V51</x:f>
        <x:v>1061773.9202434602</x:v>
      </x:c>
      <x:c r="W52" s="34" t="n">
        <x:f aca="0">W50-W51</x:f>
        <x:v>1127174.442840202</x:v>
      </x:c>
      <x:c r="X52" s="34" t="n">
        <x:f aca="0">X50-X51</x:f>
        <x:v>1195057.0346653687</x:v>
      </x:c>
      <x:c r="Y52" s="34" t="n">
        <x:f aca="0">Y50-Y51</x:f>
        <x:v>1265596.2284220723</x:v>
      </x:c>
      <x:c r="Z52" s="34" t="n">
        <x:f aca="0">Z50-Z51</x:f>
        <x:v>1338972.0559771105</x:v>
      </x:c>
    </x:row>
    <x:row r="53" ht="16.5" hidden="0" customHeight="1">
      <x:c r="A53" s="1" t="s">
        <x:v>337</x:v>
      </x:c>
      <x:c r="B53" s="1" t="s">
        <x:v>78</x:v>
      </x:c>
      <x:c r="C53" s="12" t="n">
        <x:f aca="0">MAX(0,C34-C44)</x:f>
        <x:v>0</x:v>
      </x:c>
      <x:c r="D53" s="12" t="n">
        <x:f aca="0">MAX(0,D34-D44)</x:f>
        <x:v>7.355673</x:v>
      </x:c>
      <x:c r="E53" s="12" t="n">
        <x:f aca="0">MAX(0,E34-E44)</x:f>
        <x:v>10.108664532000002</x:v>
      </x:c>
      <x:c r="F53" s="12" t="n">
        <x:f aca="0">MAX(0,F34-F44)</x:f>
        <x:v>12.774306960000002</x:v>
      </x:c>
      <x:c r="G53" s="12" t="n">
        <x:f aca="0">MAX(0,G34-G44)</x:f>
        <x:v>15.429626314560002</x:v>
      </x:c>
      <x:c r="H53" s="12" t="n">
        <x:f aca="0">MAX(0,H34-H44)</x:f>
        <x:v>18.08864898042816</x:v>
      </x:c>
      <x:c r="I53" s="12" t="n">
        <x:f aca="0">MAX(0,I34-I44)</x:f>
        <x:v>20.75982013318076</x:v>
      </x:c>
      <x:c r="J53" s="12" t="n">
        <x:f aca="0">MAX(0,J34-J44)</x:f>
        <x:v>23.451478566532195</x:v>
      </x:c>
      <x:c r="K53" s="12" t="n">
        <x:f aca="0">MAX(0,K34-K44)</x:f>
        <x:v>26.171885206242884</x:v>
      </x:c>
      <x:c r="L53" s="12" t="n">
        <x:f aca="0">MAX(0,L34-L44)</x:f>
        <x:v>28.92925088441053</x:v>
      </x:c>
      <x:c r="M53" s="12" t="n">
        <x:f aca="0">MAX(0,M34-M44)</x:f>
        <x:v>31.731763475743804</x:v>
      </x:c>
      <x:c r="N53" s="12" t="n">
        <x:f aca="0">MAX(0,N34-N44)</x:f>
        <x:v>34.58761449362853</x:v>
      </x:c>
      <x:c r="O53" s="12" t="n">
        <x:f aca="0">MAX(0,O34-O44)</x:f>
        <x:v>37.505025240385244</x:v>
      </x:c>
      <x:c r="P53" s="12" t="n">
        <x:f aca="0">MAX(0,P34-P44)</x:f>
        <x:v>40.49227260306698</x:v>
      </x:c>
      <x:c r="Q53" s="12" t="n">
        <x:f aca="0">MAX(0,Q34-Q44)</x:f>
        <x:v>43.5577145834404</x:v>
      </x:c>
      <x:c r="R53" s="12" t="n">
        <x:f aca="0">MAX(0,R34-R44)</x:f>
        <x:v>46.70981564841841</x:v>
      </x:c>
      <x:c r="S53" s="12" t="n">
        <x:f aca="0">MAX(0,S34-S44)</x:f>
        <x:v>49.957171985153735</x:v>
      </x:c>
      <x:c r="T53" s="12" t="n">
        <x:f aca="0">MAX(0,T34-T44)</x:f>
        <x:v>53.30853674324971</x:v>
      </x:c>
      <x:c r="U53" s="12" t="n">
        <x:f aca="0">MAX(0,U34-U44)</x:f>
        <x:v>56.77284534508484</x:v>
      </x:c>
      <x:c r="V53" s="12" t="n">
        <x:f aca="0">MAX(0,V34-V44)</x:f>
        <x:v>60.35924094407267</x:v>
      </x:c>
      <x:c r="W53" s="12" t="n">
        <x:f aca="0">MAX(0,W34-W44)</x:f>
        <x:v>64.07710010977893</x:v>
      </x:c>
      <x:c r="X53" s="12" t="n">
        <x:f aca="0">MAX(0,X34-X44)</x:f>
        <x:v>67.93605881818634</x:v>
      </x:c>
      <x:c r="Y53" s="12" t="n">
        <x:f aca="0">MAX(0,Y34-Y44)</x:f>
        <x:v>71.94603882502736</x:v>
      </x:c>
      <x:c r="Z53" s="12" t="n">
        <x:f aca="0">MAX(0,Z34-Z44)</x:f>
        <x:v>76.11727449999077</x:v>
      </x:c>
    </x:row>
    <x:row r="54" ht="16.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5" t="s">
        <x:v>338</x:v>
      </x:c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16.5" hidden="0" customHeight="1">
      <x:c r="A56" s="1" t="s">
        <x:v>339</x:v>
      </x:c>
      <x:c r="B56" s="1" t="s">
        <x:v>90</x:v>
      </x:c>
      <x:c r="C56" s="7" t="n">
        <x:f aca="0">C31*Assumptions!$C$38+C32*Assumptions!$C$39+C33*Assumptions!$C$40</x:f>
        <x:v>0</x:v>
      </x:c>
      <x:c r="D56" s="7" t="n">
        <x:f aca="0">D31*Assumptions!$C$38+D32*Assumptions!$C$39+D33*Assumptions!$C$40</x:f>
        <x:v>1706.7150000000001</x:v>
      </x:c>
      <x:c r="E56" s="7" t="n">
        <x:f aca="0">E31*Assumptions!$C$38+E32*Assumptions!$C$39+E33*Assumptions!$C$40</x:f>
        <x:v>2326.2453</x:v>
      </x:c>
      <x:c r="F56" s="7" t="n">
        <x:f aca="0">F31*Assumptions!$C$38+F32*Assumptions!$C$39+F33*Assumptions!$C$40</x:f>
        <x:v>2938.0906008</x:v>
      </x:c>
      <x:c r="G56" s="7" t="n">
        <x:f aca="0">G31*Assumptions!$C$38+G32*Assumptions!$C$39+G33*Assumptions!$C$40</x:f>
        <x:v>3548.8140523488</x:v>
      </x:c>
      <x:c r="H56" s="7" t="n">
        <x:f aca="0">H31*Assumptions!$C$38+H32*Assumptions!$C$39+H33*Assumptions!$C$40</x:f>
        <x:v>4160.3892654984775</x:v>
      </x:c>
      <x:c r="I56" s="7" t="n">
        <x:f aca="0">I31*Assumptions!$C$38+I32*Assumptions!$C$39+I33*Assumptions!$C$40</x:f>
        <x:v>4774.758630631575</x:v>
      </x:c>
      <x:c r="J56" s="7" t="n">
        <x:f aca="0">J31*Assumptions!$C$38+J32*Assumptions!$C$39+J33*Assumptions!$C$40</x:f>
        <x:v>5393.8400703024045</x:v>
      </x:c>
      <x:c r="K56" s="7" t="n">
        <x:f aca="0">K31*Assumptions!$C$38+K32*Assumptions!$C$39+K33*Assumptions!$C$40</x:f>
        <x:v>6019.533597435864</x:v>
      </x:c>
      <x:c r="L56" s="7" t="n">
        <x:f aca="0">L31*Assumptions!$C$38+L32*Assumptions!$C$39+L33*Assumptions!$C$40</x:f>
        <x:v>6653.727703414421</x:v>
      </x:c>
      <x:c r="M56" s="7" t="n">
        <x:f aca="0">M31*Assumptions!$C$38+M32*Assumptions!$C$39+M33*Assumptions!$C$40</x:f>
        <x:v>7298.3055994210745</x:v>
      </x:c>
      <x:c r="N56" s="7" t="n">
        <x:f aca="0">N31*Assumptions!$C$38+N32*Assumptions!$C$39+N33*Assumptions!$C$40</x:f>
        <x:v>7955.151333534561</x:v>
      </x:c>
      <x:c r="O56" s="7" t="n">
        <x:f aca="0">O31*Assumptions!$C$38+O32*Assumptions!$C$39+O33*Assumptions!$C$40</x:f>
        <x:v>8626.155805288605</x:v>
      </x:c>
      <x:c r="P56" s="7" t="n">
        <x:f aca="0">P31*Assumptions!$C$38+P32*Assumptions!$C$39+P33*Assumptions!$C$40</x:f>
        <x:v>9313.222698705404</x:v>
      </x:c>
      <x:c r="Q56" s="7" t="n">
        <x:f aca="0">Q31*Assumptions!$C$38+Q32*Assumptions!$C$39+Q33*Assumptions!$C$40</x:f>
        <x:v>10018.274354191291</x:v>
      </x:c>
      <x:c r="R56" s="7" t="n">
        <x:f aca="0">R31*Assumptions!$C$38+R32*Assumptions!$C$39+R33*Assumptions!$C$40</x:f>
        <x:v>10743.257599136234</x:v>
      </x:c>
      <x:c r="S56" s="7" t="n">
        <x:f aca="0">S31*Assumptions!$C$38+S32*Assumptions!$C$39+S33*Assumptions!$C$40</x:f>
        <x:v>11490.14955658536</x:v>
      </x:c>
      <x:c r="T56" s="7" t="n">
        <x:f aca="0">T31*Assumptions!$C$38+T32*Assumptions!$C$39+T33*Assumptions!$C$40</x:f>
        <x:v>12260.963450947434</x:v>
      </x:c>
      <x:c r="U56" s="7" t="n">
        <x:f aca="0">U31*Assumptions!$C$38+U32*Assumptions!$C$39+U33*Assumptions!$C$40</x:f>
        <x:v>13057.754429369514</x:v>
      </x:c>
      <x:c r="V56" s="7" t="n">
        <x:f aca="0">V31*Assumptions!$C$38+V32*Assumptions!$C$39+V33*Assumptions!$C$40</x:f>
        <x:v>13882.625417136715</x:v>
      </x:c>
      <x:c r="W56" s="7" t="n">
        <x:f aca="0">W31*Assumptions!$C$38+W32*Assumptions!$C$39+W33*Assumptions!$C$40</x:f>
        <x:v>14737.733025249154</x:v>
      </x:c>
      <x:c r="X56" s="7" t="n">
        <x:f aca="0">X31*Assumptions!$C$38+X32*Assumptions!$C$39+X33*Assumptions!$C$40</x:f>
        <x:v>15625.293528182858</x:v>
      </x:c>
      <x:c r="Y56" s="7" t="n">
        <x:f aca="0">Y31*Assumptions!$C$38+Y32*Assumptions!$C$39+Y33*Assumptions!$C$40</x:f>
        <x:v>16547.58892975629</x:v>
      </x:c>
      <x:c r="Z56" s="7" t="n">
        <x:f aca="0">Z31*Assumptions!$C$38+Z32*Assumptions!$C$39+Z33*Assumptions!$C$40</x:f>
        <x:v>17506.973134997876</x:v>
      </x:c>
    </x:row>
    <x:row r="57" ht="16.5" hidden="0" customHeight="1">
      <x:c r="A57" s="1" t="s">
        <x:v>340</x:v>
      </x:c>
      <x:c r="B57" s="1" t="s">
        <x:v>90</x:v>
      </x:c>
      <x:c r="C57" s="7" t="n">
        <x:f aca="0">C41*MIN(Assumptions!$C$41,Assumptions!$C$10)/MAX(1,ROUNDUP(Assumptions!$C$9/30,0))</x:f>
        <x:v>1030.56</x:v>
      </x:c>
      <x:c r="D57" s="7" t="n">
        <x:f aca="0">D41*MIN(Assumptions!$C$41,Assumptions!$C$10)/MAX(1,ROUNDUP(Assumptions!$C$9/30,0))</x:f>
        <x:v>1013.9270399999999</x:v>
      </x:c>
      <x:c r="E57" s="7" t="n">
        <x:f aca="0">E41*MIN(Assumptions!$C$41,Assumptions!$C$10)/MAX(1,ROUNDUP(Assumptions!$C$9/30,0))</x:f>
        <x:v>1058.4</x:v>
      </x:c>
      <x:c r="F57" s="7" t="n">
        <x:f aca="0">F41*MIN(Assumptions!$C$41,Assumptions!$C$10)/MAX(1,ROUNDUP(Assumptions!$C$9/30,0))</x:f>
        <x:v>1111.3200000000002</x:v>
      </x:c>
      <x:c r="G57" s="7" t="n">
        <x:f aca="0">G41*MIN(Assumptions!$C$41,Assumptions!$C$10)/MAX(1,ROUNDUP(Assumptions!$C$9/30,0))</x:f>
        <x:v>1166.8860000000002</x:v>
      </x:c>
      <x:c r="H57" s="7" t="n">
        <x:f aca="0">H41*MIN(Assumptions!$C$41,Assumptions!$C$10)/MAX(1,ROUNDUP(Assumptions!$C$9/30,0))</x:f>
        <x:v>1225.2303000000004</x:v>
      </x:c>
      <x:c r="I57" s="7" t="n">
        <x:f aca="0">I41*MIN(Assumptions!$C$41,Assumptions!$C$10)/MAX(1,ROUNDUP(Assumptions!$C$9/30,0))</x:f>
        <x:v>1286.4918150000003</x:v>
      </x:c>
      <x:c r="J57" s="7" t="n">
        <x:f aca="0">J41*MIN(Assumptions!$C$41,Assumptions!$C$10)/MAX(1,ROUNDUP(Assumptions!$C$9/30,0))</x:f>
        <x:v>1350.8164057500003</x:v>
      </x:c>
      <x:c r="K57" s="7" t="n">
        <x:f aca="0">K41*MIN(Assumptions!$C$41,Assumptions!$C$10)/MAX(1,ROUNDUP(Assumptions!$C$9/30,0))</x:f>
        <x:v>1418.3572260375004</x:v>
      </x:c>
      <x:c r="L57" s="7" t="n">
        <x:f aca="0">L41*MIN(Assumptions!$C$41,Assumptions!$C$10)/MAX(1,ROUNDUP(Assumptions!$C$9/30,0))</x:f>
        <x:v>1489.2750873393757</x:v>
      </x:c>
      <x:c r="M57" s="7" t="n">
        <x:f aca="0">M41*MIN(Assumptions!$C$41,Assumptions!$C$10)/MAX(1,ROUNDUP(Assumptions!$C$9/30,0))</x:f>
        <x:v>1563.7388417063444</x:v>
      </x:c>
      <x:c r="N57" s="7" t="n">
        <x:f aca="0">N41*MIN(Assumptions!$C$41,Assumptions!$C$10)/MAX(1,ROUNDUP(Assumptions!$C$9/30,0))</x:f>
        <x:v>1641.9257837916618</x:v>
      </x:c>
      <x:c r="O57" s="7" t="n">
        <x:f aca="0">O41*MIN(Assumptions!$C$41,Assumptions!$C$10)/MAX(1,ROUNDUP(Assumptions!$C$9/30,0))</x:f>
        <x:v>1724.0220729812447</x:v>
      </x:c>
      <x:c r="P57" s="7" t="n">
        <x:f aca="0">P41*MIN(Assumptions!$C$41,Assumptions!$C$10)/MAX(1,ROUNDUP(Assumptions!$C$9/30,0))</x:f>
        <x:v>1810.223176630307</x:v>
      </x:c>
      <x:c r="Q57" s="7" t="n">
        <x:f aca="0">Q41*MIN(Assumptions!$C$41,Assumptions!$C$10)/MAX(1,ROUNDUP(Assumptions!$C$9/30,0))</x:f>
        <x:v>1900.7343354618226</x:v>
      </x:c>
      <x:c r="R57" s="7" t="n">
        <x:f aca="0">R41*MIN(Assumptions!$C$41,Assumptions!$C$10)/MAX(1,ROUNDUP(Assumptions!$C$9/30,0))</x:f>
        <x:v>1995.771052234914</x:v>
      </x:c>
      <x:c r="S57" s="7" t="n">
        <x:f aca="0">S41*MIN(Assumptions!$C$41,Assumptions!$C$10)/MAX(1,ROUNDUP(Assumptions!$C$9/30,0))</x:f>
        <x:v>2095.5596048466596</x:v>
      </x:c>
      <x:c r="T57" s="7" t="n">
        <x:f aca="0">T41*MIN(Assumptions!$C$41,Assumptions!$C$10)/MAX(1,ROUNDUP(Assumptions!$C$9/30,0))</x:f>
        <x:v>2200.3375850889925</x:v>
      </x:c>
      <x:c r="U57" s="7" t="n">
        <x:f aca="0">U41*MIN(Assumptions!$C$41,Assumptions!$C$10)/MAX(1,ROUNDUP(Assumptions!$C$9/30,0))</x:f>
        <x:v>2310.354464343442</x:v>
      </x:c>
      <x:c r="V57" s="7" t="n">
        <x:f aca="0">V41*MIN(Assumptions!$C$41,Assumptions!$C$10)/MAX(1,ROUNDUP(Assumptions!$C$9/30,0))</x:f>
        <x:v>2425.8721875606147</x:v>
      </x:c>
      <x:c r="W57" s="7" t="n">
        <x:f aca="0">W41*MIN(Assumptions!$C$41,Assumptions!$C$10)/MAX(1,ROUNDUP(Assumptions!$C$9/30,0))</x:f>
        <x:v>2547.165796938645</x:v>
      </x:c>
      <x:c r="X57" s="7" t="n">
        <x:f aca="0">X41*MIN(Assumptions!$C$41,Assumptions!$C$10)/MAX(1,ROUNDUP(Assumptions!$C$9/30,0))</x:f>
        <x:v>2674.5240867855778</x:v>
      </x:c>
      <x:c r="Y57" s="7" t="n">
        <x:f aca="0">Y41*MIN(Assumptions!$C$41,Assumptions!$C$10)/MAX(1,ROUNDUP(Assumptions!$C$9/30,0))</x:f>
        <x:v>2808.2502911248566</x:v>
      </x:c>
      <x:c r="Z57" s="7" t="n">
        <x:f aca="0">Z41*MIN(Assumptions!$C$41,Assumptions!$C$10)/MAX(1,ROUNDUP(Assumptions!$C$9/30,0))</x:f>
        <x:v>2948.6628056810996</x:v>
      </x:c>
    </x:row>
    <x:row r="58" ht="16.5" hidden="0" customHeight="1">
      <x:c r="A58" s="1" t="s">
        <x:v>341</x:v>
      </x:c>
      <x:c r="B58" s="1" t="s">
        <x:v>90</x:v>
      </x:c>
      <x:c r="C58" s="7" t="n">
        <x:f aca="0">C42*Assumptions!$C$42</x:f>
        <x:v>2100</x:v>
      </x:c>
      <x:c r="D58" s="7" t="n">
        <x:f aca="0">D42*Assumptions!$C$42</x:f>
        <x:v>0</x:v>
      </x:c>
      <x:c r="E58" s="7" t="n">
        <x:f aca="0">E42*Assumptions!$C$42</x:f>
        <x:v>0</x:v>
      </x:c>
      <x:c r="F58" s="7" t="n">
        <x:f aca="0">F42*Assumptions!$C$42</x:f>
        <x:v>0</x:v>
      </x:c>
      <x:c r="G58" s="7" t="n">
        <x:f aca="0">G42*Assumptions!$C$42</x:f>
        <x:v>0</x:v>
      </x:c>
      <x:c r="H58" s="7" t="n">
        <x:f aca="0">H42*Assumptions!$C$42</x:f>
        <x:v>0</x:v>
      </x:c>
      <x:c r="I58" s="7" t="n">
        <x:f aca="0">I42*Assumptions!$C$42</x:f>
        <x:v>0</x:v>
      </x:c>
      <x:c r="J58" s="7" t="n">
        <x:f aca="0">J42*Assumptions!$C$42</x:f>
        <x:v>0</x:v>
      </x:c>
      <x:c r="K58" s="7" t="n">
        <x:f aca="0">K42*Assumptions!$C$42</x:f>
        <x:v>0</x:v>
      </x:c>
      <x:c r="L58" s="7" t="n">
        <x:f aca="0">L42*Assumptions!$C$42</x:f>
        <x:v>0</x:v>
      </x:c>
      <x:c r="M58" s="7" t="n">
        <x:f aca="0">M42*Assumptions!$C$42</x:f>
        <x:v>0</x:v>
      </x:c>
      <x:c r="N58" s="7" t="n">
        <x:f aca="0">N42*Assumptions!$C$42</x:f>
        <x:v>0</x:v>
      </x:c>
      <x:c r="O58" s="7" t="n">
        <x:f aca="0">O42*Assumptions!$C$42</x:f>
        <x:v>0</x:v>
      </x:c>
      <x:c r="P58" s="7" t="n">
        <x:f aca="0">P42*Assumptions!$C$42</x:f>
        <x:v>0</x:v>
      </x:c>
      <x:c r="Q58" s="7" t="n">
        <x:f aca="0">Q42*Assumptions!$C$42</x:f>
        <x:v>0</x:v>
      </x:c>
      <x:c r="R58" s="7" t="n">
        <x:f aca="0">R42*Assumptions!$C$42</x:f>
        <x:v>0</x:v>
      </x:c>
      <x:c r="S58" s="7" t="n">
        <x:f aca="0">S42*Assumptions!$C$42</x:f>
        <x:v>0</x:v>
      </x:c>
      <x:c r="T58" s="7" t="n">
        <x:f aca="0">T42*Assumptions!$C$42</x:f>
        <x:v>0</x:v>
      </x:c>
      <x:c r="U58" s="7" t="n">
        <x:f aca="0">U42*Assumptions!$C$42</x:f>
        <x:v>0</x:v>
      </x:c>
      <x:c r="V58" s="7" t="n">
        <x:f aca="0">V42*Assumptions!$C$42</x:f>
        <x:v>0</x:v>
      </x:c>
      <x:c r="W58" s="7" t="n">
        <x:f aca="0">W42*Assumptions!$C$42</x:f>
        <x:v>0</x:v>
      </x:c>
      <x:c r="X58" s="7" t="n">
        <x:f aca="0">X42*Assumptions!$C$42</x:f>
        <x:v>0</x:v>
      </x:c>
      <x:c r="Y58" s="7" t="n">
        <x:f aca="0">Y42*Assumptions!$C$42</x:f>
        <x:v>0</x:v>
      </x:c>
      <x:c r="Z58" s="7" t="n">
        <x:f aca="0">Z42*Assumptions!$C$42</x:f>
        <x:v>0</x:v>
      </x:c>
    </x:row>
    <x:row r="59" ht="16.5" hidden="0" customHeight="1">
      <x:c r="A59" s="11" t="s">
        <x:v>342</x:v>
      </x:c>
      <x:c r="B59" s="1" t="s">
        <x:v>90</x:v>
      </x:c>
      <x:c r="C59" s="7" t="n">
        <x:f aca="0">C40*Assumptions!$C$43</x:f>
        <x:v>772.6799999999998</x:v>
      </x:c>
      <x:c r="D59" s="7" t="n">
        <x:f aca="0">D40*Assumptions!$C$43</x:f>
        <x:v>2004.47112</x:v>
      </x:c>
      <x:c r="E59" s="7" t="n">
        <x:f aca="0">E40*Assumptions!$C$43</x:f>
        <x:v>2511.2121600000005</x:v>
      </x:c>
      <x:c r="F59" s="7" t="n">
        <x:f aca="0">F40*Assumptions!$C$43</x:f>
        <x:v>2920.5099667200006</x:v>
      </x:c>
      <x:c r="G59" s="7" t="n">
        <x:f aca="0">G40*Assumptions!$C$43</x:f>
        <x:v>3267.6334783219218</x:v>
      </x:c>
      <x:c r="H59" s="7" t="n">
        <x:f aca="0">H40*Assumptions!$C$43</x:f>
        <x:v>3574.1068893397196</x:v>
      </x:c>
      <x:c r="I59" s="7" t="n">
        <x:f aca="0">I40*Assumptions!$C$43</x:f>
        <x:v>3855.1508974132576</x:v>
      </x:c>
      <x:c r="J59" s="7" t="n">
        <x:f aca="0">J40*Assumptions!$C$43</x:f>
        <x:v>4121.580789795204</x:v>
      </x:c>
      <x:c r="K59" s="7" t="n">
        <x:f aca="0">K40*Assumptions!$C$43</x:f>
        <x:v>4381.135497418413</x:v>
      </x:c>
      <x:c r="L59" s="7" t="n">
        <x:f aca="0">L40*Assumptions!$C$43</x:f>
        <x:v>4639.408343266263</x:v>
      </x:c>
      <x:c r="M59" s="7" t="n">
        <x:f aca="0">M40*Assumptions!$C$43</x:f>
        <x:v>4900.498994786797</x:v>
      </x:c>
      <x:c r="N59" s="7" t="n">
        <x:f aca="0">N40*Assumptions!$C$43</x:f>
        <x:v>5167.470278230466</x:v>
      </x:c>
      <x:c r="O59" s="7" t="n">
        <x:f aca="0">O40*Assumptions!$C$43</x:f>
        <x:v>5442.668416531419</x:v>
      </x:c>
      <x:c r="P59" s="7" t="n">
        <x:f aca="0">P40*Assumptions!$C$43</x:f>
        <x:v>5727.947685016021</x:v>
      </x:c>
      <x:c r="Q59" s="7" t="n">
        <x:f aca="0">Q40*Assumptions!$C$43</x:f>
        <x:v>6024.8281821354085</x:v>
      </x:c>
      <x:c r="R59" s="7" t="n">
        <x:f aca="0">R40*Assumptions!$C$43</x:f>
        <x:v>6334.606804509642</x:v>
      </x:c>
      <x:c r="S59" s="7" t="n">
        <x:f aca="0">S40*Assumptions!$C$43</x:f>
        <x:v>6658.435490089196</x:v>
      </x:c>
      <x:c r="T59" s="7" t="n">
        <x:f aca="0">T40*Assumptions!$C$43</x:f>
        <x:v>6997.376575460075</x:v>
      </x:c>
      <x:c r="U59" s="7" t="n">
        <x:f aca="0">U40*Assumptions!$C$43</x:f>
        <x:v>7352.442160934556</x:v>
      </x:c>
      <x:c r="V59" s="7" t="n">
        <x:f aca="0">V40*Assumptions!$C$43</x:f>
        <x:v>7724.622310465222</x:v>
      </x:c>
      <x:c r="W59" s="7" t="n">
        <x:f aca="0">W40*Assumptions!$C$43</x:f>
        <x:v>8114.905466865394</x:v>
      </x:c>
      <x:c r="X59" s="7" t="n">
        <x:f aca="0">X40*Assumptions!$C$43</x:f>
        <x:v>8524.293450303017</x:v>
      </x:c>
      <x:c r="Y59" s="7" t="n">
        <x:f aca="0">Y40*Assumptions!$C$43</x:f>
        <x:v>8953.812699349979</x:v>
      </x:c>
      <x:c r="Z59" s="7" t="n">
        <x:f aca="0">Z40*Assumptions!$C$43</x:f>
        <x:v>9404.522917869699</x:v>
      </x:c>
    </x:row>
    <x:row r="60" ht="16.5" hidden="0" customHeight="1">
      <x:c r="A60" s="1" t="s">
        <x:v>343</x:v>
      </x:c>
      <x:c r="B60" s="1" t="s">
        <x:v>90</x:v>
      </x:c>
      <x:c r="C60" s="7" t="n">
        <x:f aca="0">SUM(C56:C58)*Assumptions!$C$44</x:f>
        <x:v>3130.56</x:v>
      </x:c>
      <x:c r="D60" s="7" t="n">
        <x:f aca="0">SUM(D56:D58)*Assumptions!$C$44</x:f>
        <x:v>2720.64204</x:v>
      </x:c>
      <x:c r="E60" s="7" t="n">
        <x:f aca="0">SUM(E56:E58)*Assumptions!$C$44</x:f>
        <x:v>3384.6453</x:v>
      </x:c>
      <x:c r="F60" s="7" t="n">
        <x:f aca="0">SUM(F56:F58)*Assumptions!$C$44</x:f>
        <x:v>4049.4106008000003</x:v>
      </x:c>
      <x:c r="G60" s="7" t="n">
        <x:f aca="0">SUM(G56:G58)*Assumptions!$C$44</x:f>
        <x:v>4715.7000523488</x:v>
      </x:c>
      <x:c r="H60" s="7" t="n">
        <x:f aca="0">SUM(H56:H58)*Assumptions!$C$44</x:f>
        <x:v>5385.619565498478</x:v>
      </x:c>
      <x:c r="I60" s="7" t="n">
        <x:f aca="0">SUM(I56:I58)*Assumptions!$C$44</x:f>
        <x:v>6061.2504456315755</x:v>
      </x:c>
      <x:c r="J60" s="7" t="n">
        <x:f aca="0">SUM(J56:J58)*Assumptions!$C$44</x:f>
        <x:v>6744.656476052405</x:v>
      </x:c>
      <x:c r="K60" s="7" t="n">
        <x:f aca="0">SUM(K56:K58)*Assumptions!$C$44</x:f>
        <x:v>7437.890823473364</x:v>
      </x:c>
      <x:c r="L60" s="7" t="n">
        <x:f aca="0">SUM(L56:L58)*Assumptions!$C$44</x:f>
        <x:v>8143.002790753797</x:v>
      </x:c>
      <x:c r="M60" s="7" t="n">
        <x:f aca="0">SUM(M56:M58)*Assumptions!$C$44</x:f>
        <x:v>8862.044441127418</x:v>
      </x:c>
      <x:c r="N60" s="7" t="n">
        <x:f aca="0">SUM(N56:N58)*Assumptions!$C$44</x:f>
        <x:v>9597.077117326222</x:v>
      </x:c>
      <x:c r="O60" s="7" t="n">
        <x:f aca="0">SUM(O56:O58)*Assumptions!$C$44</x:f>
        <x:v>10350.17787826985</x:v>
      </x:c>
      <x:c r="P60" s="7" t="n">
        <x:f aca="0">SUM(P56:P58)*Assumptions!$C$44</x:f>
        <x:v>11123.44587533571</x:v>
      </x:c>
      <x:c r="Q60" s="7" t="n">
        <x:f aca="0">SUM(Q56:Q58)*Assumptions!$C$44</x:f>
        <x:v>11919.008689653114</x:v>
      </x:c>
      <x:c r="R60" s="7" t="n">
        <x:f aca="0">SUM(R56:R58)*Assumptions!$C$44</x:f>
        <x:v>12739.028651371147</x:v>
      </x:c>
      <x:c r="S60" s="7" t="n">
        <x:f aca="0">SUM(S56:S58)*Assumptions!$C$44</x:f>
        <x:v>13585.70916143202</x:v>
      </x:c>
      <x:c r="T60" s="7" t="n">
        <x:f aca="0">SUM(T56:T58)*Assumptions!$C$44</x:f>
        <x:v>14461.301036036428</x:v>
      </x:c>
      <x:c r="U60" s="7" t="n">
        <x:f aca="0">SUM(U56:U58)*Assumptions!$C$44</x:f>
        <x:v>15368.108893712955</x:v>
      </x:c>
      <x:c r="V60" s="7" t="n">
        <x:f aca="0">SUM(V56:V58)*Assumptions!$C$44</x:f>
        <x:v>16308.49760469733</x:v>
      </x:c>
      <x:c r="W60" s="7" t="n">
        <x:f aca="0">SUM(W56:W58)*Assumptions!$C$44</x:f>
        <x:v>17284.8988221878</x:v>
      </x:c>
      <x:c r="X60" s="7" t="n">
        <x:f aca="0">SUM(X56:X58)*Assumptions!$C$44</x:f>
        <x:v>18299.817614968437</x:v>
      </x:c>
      <x:c r="Y60" s="7" t="n">
        <x:f aca="0">SUM(Y56:Y58)*Assumptions!$C$44</x:f>
        <x:v>19355.839220881146</x:v>
      </x:c>
      <x:c r="Z60" s="7" t="n">
        <x:f aca="0">SUM(Z56:Z58)*Assumptions!$C$44</x:f>
        <x:v>20455.635940678974</x:v>
      </x:c>
    </x:row>
    <x:row r="61" ht="16.5" hidden="0" customHeight="1">
      <x:c r="A61" s="11" t="s">
        <x:v>344</x:v>
      </x:c>
      <x:c r="B61" s="1" t="s">
        <x:v>168</x:v>
      </x:c>
      <x:c r="C61" s="7" t="n">
        <x:f aca="0">C60*Assumptions!$C$45*Assumptions!$C$47</x:f>
        <x:v>1878336</x:v>
      </x:c>
      <x:c r="D61" s="7" t="n">
        <x:f aca="0">D60*Assumptions!$C$45*Assumptions!$C$47</x:f>
        <x:v>1632385.224</x:v>
      </x:c>
      <x:c r="E61" s="7" t="n">
        <x:f aca="0">E60*Assumptions!$C$45*Assumptions!$C$47</x:f>
        <x:v>2030787.1800000002</x:v>
      </x:c>
      <x:c r="F61" s="7" t="n">
        <x:f aca="0">F60*Assumptions!$C$45*Assumptions!$C$47</x:f>
        <x:v>2429646.36048</x:v>
      </x:c>
      <x:c r="G61" s="7" t="n">
        <x:f aca="0">G60*Assumptions!$C$45*Assumptions!$C$47</x:f>
        <x:v>2829420.03140928</x:v>
      </x:c>
      <x:c r="H61" s="7" t="n">
        <x:f aca="0">H60*Assumptions!$C$45*Assumptions!$C$47</x:f>
        <x:v>3231371.7392990864</x:v>
      </x:c>
      <x:c r="I61" s="7" t="n">
        <x:f aca="0">I60*Assumptions!$C$45*Assumptions!$C$47</x:f>
        <x:v>3636750.2673789454</x:v>
      </x:c>
      <x:c r="J61" s="7" t="n">
        <x:f aca="0">J60*Assumptions!$C$45*Assumptions!$C$47</x:f>
        <x:v>4046793.885631443</x:v>
      </x:c>
      <x:c r="K61" s="7" t="n">
        <x:f aca="0">K60*Assumptions!$C$45*Assumptions!$C$47</x:f>
        <x:v>4462734.494084018</x:v>
      </x:c>
      <x:c r="L61" s="7" t="n">
        <x:f aca="0">L60*Assumptions!$C$45*Assumptions!$C$47</x:f>
        <x:v>4885801.674452278</x:v>
      </x:c>
      <x:c r="M61" s="7" t="n">
        <x:f aca="0">M60*Assumptions!$C$45*Assumptions!$C$47</x:f>
        <x:v>5317226.66467645</x:v>
      </x:c>
      <x:c r="N61" s="7" t="n">
        <x:f aca="0">N60*Assumptions!$C$45*Assumptions!$C$47</x:f>
        <x:v>5758246.270395733</x:v>
      </x:c>
      <x:c r="O61" s="7" t="n">
        <x:f aca="0">O60*Assumptions!$C$45*Assumptions!$C$47</x:f>
        <x:v>6210106.72696191</x:v>
      </x:c>
      <x:c r="P61" s="7" t="n">
        <x:f aca="0">P60*Assumptions!$C$45*Assumptions!$C$47</x:f>
        <x:v>6674067.525201426</x:v>
      </x:c>
      <x:c r="Q61" s="7" t="n">
        <x:f aca="0">Q60*Assumptions!$C$45*Assumptions!$C$47</x:f>
        <x:v>7151405.213791868</x:v>
      </x:c>
      <x:c r="R61" s="7" t="n">
        <x:f aca="0">R60*Assumptions!$C$45*Assumptions!$C$47</x:f>
        <x:v>7643417.190822688</x:v>
      </x:c>
      <x:c r="S61" s="7" t="n">
        <x:f aca="0">S60*Assumptions!$C$45*Assumptions!$C$47</x:f>
        <x:v>8151425.4968592115</x:v>
      </x:c>
      <x:c r="T61" s="7" t="n">
        <x:f aca="0">T60*Assumptions!$C$45*Assumptions!$C$47</x:f>
        <x:v>8676780.621621856</x:v>
      </x:c>
      <x:c r="U61" s="7" t="n">
        <x:f aca="0">U60*Assumptions!$C$45*Assumptions!$C$47</x:f>
        <x:v>9220865.336227773</x:v>
      </x:c>
      <x:c r="V61" s="7" t="n">
        <x:f aca="0">V60*Assumptions!$C$45*Assumptions!$C$47</x:f>
        <x:v>9785098.562818397</x:v>
      </x:c>
      <x:c r="W61" s="7" t="n">
        <x:f aca="0">W60*Assumptions!$C$45*Assumptions!$C$47</x:f>
        <x:v>10370939.29331268</x:v>
      </x:c>
      <x:c r="X61" s="7" t="n">
        <x:f aca="0">X60*Assumptions!$C$45*Assumptions!$C$47</x:f>
        <x:v>10979890.568981063</x:v>
      </x:c>
      <x:c r="Y61" s="7" t="n">
        <x:f aca="0">Y60*Assumptions!$C$45*Assumptions!$C$47</x:f>
        <x:v>11613503.532528687</x:v>
      </x:c>
      <x:c r="Z61" s="7" t="n">
        <x:f aca="0">Z60*Assumptions!$C$45*Assumptions!$C$47</x:f>
        <x:v>12273381.564407384</x:v>
      </x:c>
    </x:row>
    <x:row r="62" ht="16.5" hidden="0" customHeight="1">
      <x:c r="A62" s="11" t="s">
        <x:v>345</x:v>
      </x:c>
      <x:c r="B62" s="1" t="s">
        <x:v>168</x:v>
      </x:c>
      <x:c r="C62" s="7" t="n">
        <x:f aca="0">C60*Assumptions!$C$46*Assumptions!$C$47</x:f>
        <x:v>375667.2</x:v>
      </x:c>
      <x:c r="D62" s="7" t="n">
        <x:f aca="0">D60*Assumptions!$C$46*Assumptions!$C$47</x:f>
        <x:v>326477.04480000003</x:v>
      </x:c>
      <x:c r="E62" s="7" t="n">
        <x:f aca="0">E60*Assumptions!$C$46*Assumptions!$C$47</x:f>
        <x:v>406157.43600000005</x:v>
      </x:c>
      <x:c r="F62" s="7" t="n">
        <x:f aca="0">F60*Assumptions!$C$46*Assumptions!$C$47</x:f>
        <x:v>485929.27209600003</x:v>
      </x:c>
      <x:c r="G62" s="7" t="n">
        <x:f aca="0">G60*Assumptions!$C$46*Assumptions!$C$47</x:f>
        <x:v>565884.006281856</x:v>
      </x:c>
      <x:c r="H62" s="7" t="n">
        <x:f aca="0">H60*Assumptions!$C$46*Assumptions!$C$47</x:f>
        <x:v>646274.3478598172</x:v>
      </x:c>
      <x:c r="I62" s="7" t="n">
        <x:f aca="0">I60*Assumptions!$C$46*Assumptions!$C$47</x:f>
        <x:v>727350.0534757891</x:v>
      </x:c>
      <x:c r="J62" s="7" t="n">
        <x:f aca="0">J60*Assumptions!$C$46*Assumptions!$C$47</x:f>
        <x:v>809358.7771262886</x:v>
      </x:c>
      <x:c r="K62" s="7" t="n">
        <x:f aca="0">K60*Assumptions!$C$46*Assumptions!$C$47</x:f>
        <x:v>892546.8988168037</x:v>
      </x:c>
      <x:c r="L62" s="7" t="n">
        <x:f aca="0">L60*Assumptions!$C$46*Assumptions!$C$47</x:f>
        <x:v>977160.3348904556</x:v>
      </x:c>
      <x:c r="M62" s="7" t="n">
        <x:f aca="0">M60*Assumptions!$C$46*Assumptions!$C$47</x:f>
        <x:v>1063445.3329352902</x:v>
      </x:c>
      <x:c r="N62" s="7" t="n">
        <x:f aca="0">N60*Assumptions!$C$46*Assumptions!$C$47</x:f>
        <x:v>1151649.2540791465</x:v>
      </x:c>
      <x:c r="O62" s="7" t="n">
        <x:f aca="0">O60*Assumptions!$C$46*Assumptions!$C$47</x:f>
        <x:v>1242021.3453923818</x:v>
      </x:c>
      <x:c r="P62" s="7" t="n">
        <x:f aca="0">P60*Assumptions!$C$46*Assumptions!$C$47</x:f>
        <x:v>1334813.5050402852</x:v>
      </x:c>
      <x:c r="Q62" s="7" t="n">
        <x:f aca="0">Q60*Assumptions!$C$46*Assumptions!$C$47</x:f>
        <x:v>1430281.0427583738</x:v>
      </x:c>
      <x:c r="R62" s="7" t="n">
        <x:f aca="0">R60*Assumptions!$C$46*Assumptions!$C$47</x:f>
        <x:v>1528683.4381645375</x:v>
      </x:c>
      <x:c r="S62" s="7" t="n">
        <x:f aca="0">S60*Assumptions!$C$46*Assumptions!$C$47</x:f>
        <x:v>1630285.0993718423</x:v>
      </x:c>
      <x:c r="T62" s="7" t="n">
        <x:f aca="0">T60*Assumptions!$C$46*Assumptions!$C$47</x:f>
        <x:v>1735356.1243243713</x:v>
      </x:c>
      <x:c r="U62" s="7" t="n">
        <x:f aca="0">U60*Assumptions!$C$46*Assumptions!$C$47</x:f>
        <x:v>1844173.0672455544</x:v>
      </x:c>
      <x:c r="V62" s="7" t="n">
        <x:f aca="0">V60*Assumptions!$C$46*Assumptions!$C$47</x:f>
        <x:v>1957019.7125636796</x:v>
      </x:c>
      <x:c r="W62" s="7" t="n">
        <x:f aca="0">W60*Assumptions!$C$46*Assumptions!$C$47</x:f>
        <x:v>2074187.858662536</x:v>
      </x:c>
      <x:c r="X62" s="7" t="n">
        <x:f aca="0">X60*Assumptions!$C$46*Assumptions!$C$47</x:f>
        <x:v>2195978.1137962122</x:v>
      </x:c>
      <x:c r="Y62" s="7" t="n">
        <x:f aca="0">Y60*Assumptions!$C$46*Assumptions!$C$47</x:f>
        <x:v>2322700.7065057373</x:v>
      </x:c>
      <x:c r="Z62" s="7" t="n">
        <x:f aca="0">Z60*Assumptions!$C$46*Assumptions!$C$47</x:f>
        <x:v>2454676.3128814767</x:v>
      </x:c>
    </x:row>
    <x:row r="63" ht="16.5" hidden="0" customHeight="1">
      <x:c r="A63" s="11" t="s">
        <x:v>346</x:v>
      </x:c>
      <x:c r="B63" s="1" t="s">
        <x:v>78</x:v>
      </x:c>
      <x:c r="C63" s="12" t="n">
        <x:f aca="0">(C61*(Assumptions!$C$49*(1-Assumptions!$C$48)+Assumptions!$C$51*Assumptions!$C$48)+C62*(Assumptions!$C$50*(1-Assumptions!$C$48)+Assumptions!$C$52*Assumptions!$C$48))/1000000*Assumptions!$C$54</x:f>
        <x:v>4181.175936000001</x:v>
      </x:c>
      <x:c r="D63" s="12" t="n">
        <x:f aca="0">(D61*(Assumptions!$C$49*(1-Assumptions!$C$48)+Assumptions!$C$51*Assumptions!$C$48)+D62*(Assumptions!$C$50*(1-Assumptions!$C$48)+Assumptions!$C$52*Assumptions!$C$48))/1000000*Assumptions!$C$54</x:f>
        <x:v>3633.689508624</x:v>
      </x:c>
      <x:c r="E63" s="12" t="n">
        <x:f aca="0">(E61*(Assumptions!$C$49*(1-Assumptions!$C$48)+Assumptions!$C$51*Assumptions!$C$48)+E62*(Assumptions!$C$50*(1-Assumptions!$C$48)+Assumptions!$C$52*Assumptions!$C$48))/1000000*Assumptions!$C$54</x:f>
        <x:v>4520.532262680001</x:v>
      </x:c>
      <x:c r="F63" s="12" t="n">
        <x:f aca="0">(F61*(Assumptions!$C$49*(1-Assumptions!$C$48)+Assumptions!$C$51*Assumptions!$C$48)+F62*(Assumptions!$C$50*(1-Assumptions!$C$48)+Assumptions!$C$52*Assumptions!$C$48))/1000000*Assumptions!$C$54</x:f>
        <x:v>5408.392798428479</x:v>
      </x:c>
      <x:c r="G63" s="12" t="n">
        <x:f aca="0">(G61*(Assumptions!$C$49*(1-Assumptions!$C$48)+Assumptions!$C$51*Assumptions!$C$48)+G62*(Assumptions!$C$50*(1-Assumptions!$C$48)+Assumptions!$C$52*Assumptions!$C$48))/1000000*Assumptions!$C$54</x:f>
        <x:v>6298.288989917057</x:v>
      </x:c>
      <x:c r="H63" s="12" t="n">
        <x:f aca="0">(H61*(Assumptions!$C$49*(1-Assumptions!$C$48)+Assumptions!$C$51*Assumptions!$C$48)+H62*(Assumptions!$C$50*(1-Assumptions!$C$48)+Assumptions!$C$52*Assumptions!$C$48))/1000000*Assumptions!$C$54</x:f>
        <x:v>7193.033491679766</x:v>
      </x:c>
      <x:c r="I63" s="12" t="n">
        <x:f aca="0">(I61*(Assumptions!$C$49*(1-Assumptions!$C$48)+Assumptions!$C$51*Assumptions!$C$48)+I62*(Assumptions!$C$50*(1-Assumptions!$C$48)+Assumptions!$C$52*Assumptions!$C$48))/1000000*Assumptions!$C$54</x:f>
        <x:v>8095.4060951855345</x:v>
      </x:c>
      <x:c r="J63" s="12" t="n">
        <x:f aca="0">(J61*(Assumptions!$C$49*(1-Assumptions!$C$48)+Assumptions!$C$51*Assumptions!$C$48)+J62*(Assumptions!$C$50*(1-Assumptions!$C$48)+Assumptions!$C$52*Assumptions!$C$48))/1000000*Assumptions!$C$54</x:f>
        <x:v>9008.163189415594</x:v>
      </x:c>
      <x:c r="K63" s="12" t="n">
        <x:f aca="0">(K61*(Assumptions!$C$49*(1-Assumptions!$C$48)+Assumptions!$C$51*Assumptions!$C$48)+K62*(Assumptions!$C$50*(1-Assumptions!$C$48)+Assumptions!$C$52*Assumptions!$C$48))/1000000*Assumptions!$C$54</x:f>
        <x:v>9934.046983831025</x:v>
      </x:c>
      <x:c r="L63" s="12" t="n">
        <x:f aca="0">(L61*(Assumptions!$C$49*(1-Assumptions!$C$48)+Assumptions!$C$51*Assumptions!$C$48)+L62*(Assumptions!$C$50*(1-Assumptions!$C$48)+Assumptions!$C$52*Assumptions!$C$48))/1000000*Assumptions!$C$54</x:f>
        <x:v>10875.794527330772</x:v>
      </x:c>
      <x:c r="M63" s="12" t="n">
        <x:f aca="0">(M61*(Assumptions!$C$49*(1-Assumptions!$C$48)+Assumptions!$C$51*Assumptions!$C$48)+M62*(Assumptions!$C$50*(1-Assumptions!$C$48)+Assumptions!$C$52*Assumptions!$C$48))/1000000*Assumptions!$C$54</x:f>
        <x:v>11836.146555569781</x:v>
      </x:c>
      <x:c r="N63" s="12" t="n">
        <x:f aca="0">(N61*(Assumptions!$C$49*(1-Assumptions!$C$48)+Assumptions!$C$51*Assumptions!$C$48)+N62*(Assumptions!$C$50*(1-Assumptions!$C$48)+Assumptions!$C$52*Assumptions!$C$48))/1000000*Assumptions!$C$54</x:f>
        <x:v>12817.856197900901</x:v>
      </x:c>
      <x:c r="O63" s="12" t="n">
        <x:f aca="0">(O61*(Assumptions!$C$49*(1-Assumptions!$C$48)+Assumptions!$C$51*Assumptions!$C$48)+O62*(Assumptions!$C$50*(1-Assumptions!$C$48)+Assumptions!$C$52*Assumptions!$C$48))/1000000*Assumptions!$C$54</x:f>
        <x:v>13823.697574217213</x:v>
      </x:c>
      <x:c r="P63" s="12" t="n">
        <x:f aca="0">(P61*(Assumptions!$C$49*(1-Assumptions!$C$48)+Assumptions!$C$51*Assumptions!$C$48)+P62*(Assumptions!$C$50*(1-Assumptions!$C$48)+Assumptions!$C$52*Assumptions!$C$48))/1000000*Assumptions!$C$54</x:f>
        <x:v>14856.474311098375</x:v>
      </x:c>
      <x:c r="Q63" s="12" t="n">
        <x:f aca="0">(Q61*(Assumptions!$C$49*(1-Assumptions!$C$48)+Assumptions!$C$51*Assumptions!$C$48)+Q62*(Assumptions!$C$50*(1-Assumptions!$C$48)+Assumptions!$C$52*Assumptions!$C$48))/1000000*Assumptions!$C$54</x:f>
        <x:v>15919.028005900698</x:v>
      </x:c>
      <x:c r="R63" s="12" t="n">
        <x:f aca="0">(R61*(Assumptions!$C$49*(1-Assumptions!$C$48)+Assumptions!$C$51*Assumptions!$C$48)+R62*(Assumptions!$C$50*(1-Assumptions!$C$48)+Assumptions!$C$52*Assumptions!$C$48))/1000000*Assumptions!$C$54</x:f>
        <x:v>17014.246666771305</x:v>
      </x:c>
      <x:c r="S63" s="12" t="n">
        <x:f aca="0">(S61*(Assumptions!$C$49*(1-Assumptions!$C$48)+Assumptions!$C$51*Assumptions!$C$48)+S62*(Assumptions!$C$50*(1-Assumptions!$C$48)+Assumptions!$C$52*Assumptions!$C$48))/1000000*Assumptions!$C$54</x:f>
        <x:v>18145.073156008606</x:v>
      </x:c>
      <x:c r="T63" s="12" t="n">
        <x:f aca="0">(T61*(Assumptions!$C$49*(1-Assumptions!$C$48)+Assumptions!$C$51*Assumptions!$C$48)+T62*(Assumptions!$C$50*(1-Assumptions!$C$48)+Assumptions!$C$52*Assumptions!$C$48))/1000000*Assumptions!$C$54</x:f>
        <x:v>19314.513663730253</x:v>
      </x:c>
      <x:c r="U63" s="12" t="n">
        <x:f aca="0">(U61*(Assumptions!$C$49*(1-Assumptions!$C$48)+Assumptions!$C$51*Assumptions!$C$48)+U62*(Assumptions!$C$50*(1-Assumptions!$C$48)+Assumptions!$C$52*Assumptions!$C$48))/1000000*Assumptions!$C$54</x:f>
        <x:v>20525.646238443023</x:v>
      </x:c>
      <x:c r="V63" s="12" t="n">
        <x:f aca="0">(V61*(Assumptions!$C$49*(1-Assumptions!$C$48)+Assumptions!$C$51*Assumptions!$C$48)+V62*(Assumptions!$C$50*(1-Assumptions!$C$48)+Assumptions!$C$52*Assumptions!$C$48))/1000000*Assumptions!$C$54</x:f>
        <x:v>21781.629400833754</x:v>
      </x:c>
      <x:c r="W63" s="12" t="n">
        <x:f aca="0">(W61*(Assumptions!$C$49*(1-Assumptions!$C$48)+Assumptions!$C$51*Assumptions!$C$48)+W62*(Assumptions!$C$50*(1-Assumptions!$C$48)+Assumptions!$C$52*Assumptions!$C$48))/1000000*Assumptions!$C$54</x:f>
        <x:v>23085.710866914025</x:v>
      </x:c>
      <x:c r="X63" s="12" t="n">
        <x:f aca="0">(X61*(Assumptions!$C$49*(1-Assumptions!$C$48)+Assumptions!$C$51*Assumptions!$C$48)+X62*(Assumptions!$C$50*(1-Assumptions!$C$48)+Assumptions!$C$52*Assumptions!$C$48))/1000000*Assumptions!$C$54</x:f>
        <x:v>24441.23640655184</x:v>
      </x:c>
      <x:c r="Y63" s="12" t="n">
        <x:f aca="0">(Y61*(Assumptions!$C$49*(1-Assumptions!$C$48)+Assumptions!$C$51*Assumptions!$C$48)+Y62*(Assumptions!$C$50*(1-Assumptions!$C$48)+Assumptions!$C$52*Assumptions!$C$48))/1000000*Assumptions!$C$54</x:f>
        <x:v>25851.65886340886</x:v>
      </x:c>
      <x:c r="Z63" s="12" t="n">
        <x:f aca="0">(Z61*(Assumptions!$C$49*(1-Assumptions!$C$48)+Assumptions!$C$51*Assumptions!$C$48)+Z62*(Assumptions!$C$50*(1-Assumptions!$C$48)+Assumptions!$C$52*Assumptions!$C$48))/1000000*Assumptions!$C$54</x:f>
        <x:v>27320.547362370835</x:v>
      </x:c>
    </x:row>
    <x:row r="64" ht="16.5" hidden="0" customHeight="1">
      <x:c r="A64" s="11" t="s">
        <x:v>347</x:v>
      </x:c>
      <x:c r="B64" s="1" t="s">
        <x:v>78</x:v>
      </x:c>
      <x:c r="C64" s="12" t="n">
        <x:f aca="0">C63*Assumptions!$C$53</x:f>
        <x:v>229.96467648000004</x:v>
      </x:c>
      <x:c r="D64" s="12" t="n">
        <x:f aca="0">D63*Assumptions!$C$53</x:f>
        <x:v>199.85292297432002</x:v>
      </x:c>
      <x:c r="E64" s="12" t="n">
        <x:f aca="0">E63*Assumptions!$C$53</x:f>
        <x:v>248.62927444740004</x:v>
      </x:c>
      <x:c r="F64" s="12" t="n">
        <x:f aca="0">F63*Assumptions!$C$53</x:f>
        <x:v>297.46160391356636</x:v>
      </x:c>
      <x:c r="G64" s="12" t="n">
        <x:f aca="0">G63*Assumptions!$C$53</x:f>
        <x:v>346.40589444543815</x:v>
      </x:c>
      <x:c r="H64" s="12" t="n">
        <x:f aca="0">H63*Assumptions!$C$53</x:f>
        <x:v>395.61684204238713</x:v>
      </x:c>
      <x:c r="I64" s="12" t="n">
        <x:f aca="0">I63*Assumptions!$C$53</x:f>
        <x:v>445.2473352352044</x:v>
      </x:c>
      <x:c r="J64" s="12" t="n">
        <x:f aca="0">J63*Assumptions!$C$53</x:f>
        <x:v>495.4489754178577</x:v>
      </x:c>
      <x:c r="K64" s="12" t="n">
        <x:f aca="0">K63*Assumptions!$C$53</x:f>
        <x:v>546.3725841107064</x:v>
      </x:c>
      <x:c r="L64" s="12" t="n">
        <x:f aca="0">L63*Assumptions!$C$53</x:f>
        <x:v>598.1686990031925</x:v>
      </x:c>
      <x:c r="M64" s="12" t="n">
        <x:f aca="0">M63*Assumptions!$C$53</x:f>
        <x:v>650.9880605563379</x:v>
      </x:c>
      <x:c r="N64" s="12" t="n">
        <x:f aca="0">N63*Assumptions!$C$53</x:f>
        <x:v>704.9820908845495</x:v>
      </x:c>
      <x:c r="O64" s="12" t="n">
        <x:f aca="0">O63*Assumptions!$C$53</x:f>
        <x:v>760.3033665819466</x:v>
      </x:c>
      <x:c r="P64" s="12" t="n">
        <x:f aca="0">P63*Assumptions!$C$53</x:f>
        <x:v>817.1060871104106</x:v>
      </x:c>
      <x:c r="Q64" s="12" t="n">
        <x:f aca="0">Q63*Assumptions!$C$53</x:f>
        <x:v>875.5465403245385</x:v>
      </x:c>
      <x:c r="R64" s="12" t="n">
        <x:f aca="0">R63*Assumptions!$C$53</x:f>
        <x:v>935.7835666724218</x:v>
      </x:c>
      <x:c r="S64" s="12" t="n">
        <x:f aca="0">S63*Assumptions!$C$53</x:f>
        <x:v>997.9790235804734</x:v>
      </x:c>
      <x:c r="T64" s="12" t="n">
        <x:f aca="0">T63*Assumptions!$C$53</x:f>
        <x:v>1062.298251505164</x:v>
      </x:c>
      <x:c r="U64" s="12" t="n">
        <x:f aca="0">U63*Assumptions!$C$53</x:f>
        <x:v>1128.9105431143662</x:v>
      </x:c>
      <x:c r="V64" s="12" t="n">
        <x:f aca="0">V63*Assumptions!$C$53</x:f>
        <x:v>1197.9896170458564</x:v>
      </x:c>
      <x:c r="W64" s="12" t="n">
        <x:f aca="0">W63*Assumptions!$C$53</x:f>
        <x:v>1269.7140976802714</x:v>
      </x:c>
      <x:c r="X64" s="12" t="n">
        <x:f aca="0">X63*Assumptions!$C$53</x:f>
        <x:v>1344.2680023603514</x:v>
      </x:c>
      <x:c r="Y64" s="12" t="n">
        <x:f aca="0">Y63*Assumptions!$C$53</x:f>
        <x:v>1421.8412374874872</x:v>
      </x:c>
      <x:c r="Z64" s="12" t="n">
        <x:f aca="0">Z63*Assumptions!$C$53</x:f>
        <x:v>1502.6301049303959</x:v>
      </x:c>
    </x:row>
    <x:row r="65" ht="16.5" hidden="0" customHeight="1">
      <x:c r="A65" s="1" t="s">
        <x:v>348</x:v>
      </x:c>
      <x:c r="B65" s="1" t="s">
        <x:v>78</x:v>
      </x:c>
      <x:c r="C65" s="12" t="n">
        <x:f aca="0">C60*Assumptions!$C$55*Assumptions!$C$56</x:f>
        <x:v>0</x:v>
      </x:c>
      <x:c r="D65" s="12" t="n">
        <x:f aca="0">D60*Assumptions!$C$55*Assumptions!$C$56</x:f>
        <x:v>0</x:v>
      </x:c>
      <x:c r="E65" s="12" t="n">
        <x:f aca="0">E60*Assumptions!$C$55*Assumptions!$C$56</x:f>
        <x:v>0</x:v>
      </x:c>
      <x:c r="F65" s="12" t="n">
        <x:f aca="0">F60*Assumptions!$C$55*Assumptions!$C$56</x:f>
        <x:v>0</x:v>
      </x:c>
      <x:c r="G65" s="12" t="n">
        <x:f aca="0">G60*Assumptions!$C$55*Assumptions!$C$56</x:f>
        <x:v>0</x:v>
      </x:c>
      <x:c r="H65" s="12" t="n">
        <x:f aca="0">H60*Assumptions!$C$55*Assumptions!$C$56</x:f>
        <x:v>0</x:v>
      </x:c>
      <x:c r="I65" s="12" t="n">
        <x:f aca="0">I60*Assumptions!$C$55*Assumptions!$C$56</x:f>
        <x:v>0</x:v>
      </x:c>
      <x:c r="J65" s="12" t="n">
        <x:f aca="0">J60*Assumptions!$C$55*Assumptions!$C$56</x:f>
        <x:v>0</x:v>
      </x:c>
      <x:c r="K65" s="12" t="n">
        <x:f aca="0">K60*Assumptions!$C$55*Assumptions!$C$56</x:f>
        <x:v>0</x:v>
      </x:c>
      <x:c r="L65" s="12" t="n">
        <x:f aca="0">L60*Assumptions!$C$55*Assumptions!$C$56</x:f>
        <x:v>0</x:v>
      </x:c>
      <x:c r="M65" s="12" t="n">
        <x:f aca="0">M60*Assumptions!$C$55*Assumptions!$C$56</x:f>
        <x:v>0</x:v>
      </x:c>
      <x:c r="N65" s="12" t="n">
        <x:f aca="0">N60*Assumptions!$C$55*Assumptions!$C$56</x:f>
        <x:v>0</x:v>
      </x:c>
      <x:c r="O65" s="12" t="n">
        <x:f aca="0">O60*Assumptions!$C$55*Assumptions!$C$56</x:f>
        <x:v>0</x:v>
      </x:c>
      <x:c r="P65" s="12" t="n">
        <x:f aca="0">P60*Assumptions!$C$55*Assumptions!$C$56</x:f>
        <x:v>0</x:v>
      </x:c>
      <x:c r="Q65" s="12" t="n">
        <x:f aca="0">Q60*Assumptions!$C$55*Assumptions!$C$56</x:f>
        <x:v>0</x:v>
      </x:c>
      <x:c r="R65" s="12" t="n">
        <x:f aca="0">R60*Assumptions!$C$55*Assumptions!$C$56</x:f>
        <x:v>0</x:v>
      </x:c>
      <x:c r="S65" s="12" t="n">
        <x:f aca="0">S60*Assumptions!$C$55*Assumptions!$C$56</x:f>
        <x:v>0</x:v>
      </x:c>
      <x:c r="T65" s="12" t="n">
        <x:f aca="0">T60*Assumptions!$C$55*Assumptions!$C$56</x:f>
        <x:v>0</x:v>
      </x:c>
      <x:c r="U65" s="12" t="n">
        <x:f aca="0">U60*Assumptions!$C$55*Assumptions!$C$56</x:f>
        <x:v>0</x:v>
      </x:c>
      <x:c r="V65" s="12" t="n">
        <x:f aca="0">V60*Assumptions!$C$55*Assumptions!$C$56</x:f>
        <x:v>0</x:v>
      </x:c>
      <x:c r="W65" s="12" t="n">
        <x:f aca="0">W60*Assumptions!$C$55*Assumptions!$C$56</x:f>
        <x:v>0</x:v>
      </x:c>
      <x:c r="X65" s="12" t="n">
        <x:f aca="0">X60*Assumptions!$C$55*Assumptions!$C$56</x:f>
        <x:v>0</x:v>
      </x:c>
      <x:c r="Y65" s="12" t="n">
        <x:f aca="0">Y60*Assumptions!$C$55*Assumptions!$C$56</x:f>
        <x:v>0</x:v>
      </x:c>
      <x:c r="Z65" s="12" t="n">
        <x:f aca="0">Z60*Assumptions!$C$55*Assumptions!$C$56</x:f>
        <x:v>0</x:v>
      </x:c>
    </x:row>
    <x:row r="66" ht="16.5" hidden="0" customHeight="1">
      <x:c r="A66" s="11" t="s">
        <x:v>349</x:v>
      </x:c>
      <x:c r="B66" s="1" t="s">
        <x:v>78</x:v>
      </x:c>
      <x:c r="C66" s="12" t="n">
        <x:f aca="0">IF(C95=0,0,Assumptions!$C$58+MAX(0,C96+Assumptions!$C$59-Assumptions!$C$58))*Assumptions!$C$54</x:f>
        <x:v>28000</x:v>
      </x:c>
      <x:c r="D66" s="12" t="n">
        <x:f aca="0">IF(D95=0,0,Assumptions!$C$58+MAX(0,D96+Assumptions!$C$59-Assumptions!$C$58))*Assumptions!$C$54</x:f>
        <x:v>28000</x:v>
      </x:c>
      <x:c r="E66" s="12" t="n">
        <x:f aca="0">IF(E95=0,0,Assumptions!$C$58+MAX(0,E96+Assumptions!$C$59-Assumptions!$C$58))*Assumptions!$C$54</x:f>
        <x:v>28000</x:v>
      </x:c>
      <x:c r="F66" s="12" t="n">
        <x:f aca="0">IF(F95=0,0,Assumptions!$C$58+MAX(0,F96+Assumptions!$C$59-Assumptions!$C$58))*Assumptions!$C$54</x:f>
        <x:v>28000</x:v>
      </x:c>
      <x:c r="G66" s="12" t="n">
        <x:f aca="0">IF(G95=0,0,Assumptions!$C$58+MAX(0,G96+Assumptions!$C$59-Assumptions!$C$58))*Assumptions!$C$54</x:f>
        <x:v>28000</x:v>
      </x:c>
      <x:c r="H66" s="12" t="n">
        <x:f aca="0">IF(H95=0,0,Assumptions!$C$58+MAX(0,H96+Assumptions!$C$59-Assumptions!$C$58))*Assumptions!$C$54</x:f>
        <x:v>28000</x:v>
      </x:c>
      <x:c r="I66" s="12" t="n">
        <x:f aca="0">IF(I95=0,0,Assumptions!$C$58+MAX(0,I96+Assumptions!$C$59-Assumptions!$C$58))*Assumptions!$C$54</x:f>
        <x:v>28000</x:v>
      </x:c>
      <x:c r="J66" s="12" t="n">
        <x:f aca="0">IF(J95=0,0,Assumptions!$C$58+MAX(0,J96+Assumptions!$C$59-Assumptions!$C$58))*Assumptions!$C$54</x:f>
        <x:v>28000</x:v>
      </x:c>
      <x:c r="K66" s="12" t="n">
        <x:f aca="0">IF(K95=0,0,Assumptions!$C$58+MAX(0,K96+Assumptions!$C$59-Assumptions!$C$58))*Assumptions!$C$54</x:f>
        <x:v>28000</x:v>
      </x:c>
      <x:c r="L66" s="12" t="n">
        <x:f aca="0">IF(L95=0,0,Assumptions!$C$58+MAX(0,L96+Assumptions!$C$59-Assumptions!$C$58))*Assumptions!$C$54</x:f>
        <x:v>28000</x:v>
      </x:c>
      <x:c r="M66" s="12" t="n">
        <x:f aca="0">IF(M95=0,0,Assumptions!$C$58+MAX(0,M96+Assumptions!$C$59-Assumptions!$C$58))*Assumptions!$C$54</x:f>
        <x:v>28000</x:v>
      </x:c>
      <x:c r="N66" s="12" t="n">
        <x:f aca="0">IF(N95=0,0,Assumptions!$C$58+MAX(0,N96+Assumptions!$C$59-Assumptions!$C$58))*Assumptions!$C$54</x:f>
        <x:v>28000</x:v>
      </x:c>
      <x:c r="O66" s="12" t="n">
        <x:f aca="0">IF(O95=0,0,Assumptions!$C$58+MAX(0,O96+Assumptions!$C$59-Assumptions!$C$58))*Assumptions!$C$54</x:f>
        <x:v>28000</x:v>
      </x:c>
      <x:c r="P66" s="12" t="n">
        <x:f aca="0">IF(P95=0,0,Assumptions!$C$58+MAX(0,P96+Assumptions!$C$59-Assumptions!$C$58))*Assumptions!$C$54</x:f>
        <x:v>28000</x:v>
      </x:c>
      <x:c r="Q66" s="12" t="n">
        <x:f aca="0">IF(Q95=0,0,Assumptions!$C$58+MAX(0,Q96+Assumptions!$C$59-Assumptions!$C$58))*Assumptions!$C$54</x:f>
        <x:v>28000</x:v>
      </x:c>
      <x:c r="R66" s="12" t="n">
        <x:f aca="0">IF(R95=0,0,Assumptions!$C$58+MAX(0,R96+Assumptions!$C$59-Assumptions!$C$58))*Assumptions!$C$54</x:f>
        <x:v>28000</x:v>
      </x:c>
      <x:c r="S66" s="12" t="n">
        <x:f aca="0">IF(S95=0,0,Assumptions!$C$58+MAX(0,S96+Assumptions!$C$59-Assumptions!$C$58))*Assumptions!$C$54</x:f>
        <x:v>28000</x:v>
      </x:c>
      <x:c r="T66" s="12" t="n">
        <x:f aca="0">IF(T95=0,0,Assumptions!$C$58+MAX(0,T96+Assumptions!$C$59-Assumptions!$C$58))*Assumptions!$C$54</x:f>
        <x:v>28000</x:v>
      </x:c>
      <x:c r="U66" s="12" t="n">
        <x:f aca="0">IF(U95=0,0,Assumptions!$C$58+MAX(0,U96+Assumptions!$C$59-Assumptions!$C$58))*Assumptions!$C$54</x:f>
        <x:v>28000</x:v>
      </x:c>
      <x:c r="V66" s="12" t="n">
        <x:f aca="0">IF(V95=0,0,Assumptions!$C$58+MAX(0,V96+Assumptions!$C$59-Assumptions!$C$58))*Assumptions!$C$54</x:f>
        <x:v>28000</x:v>
      </x:c>
      <x:c r="W66" s="12" t="n">
        <x:f aca="0">IF(W95=0,0,Assumptions!$C$58+MAX(0,W96+Assumptions!$C$59-Assumptions!$C$58))*Assumptions!$C$54</x:f>
        <x:v>28000</x:v>
      </x:c>
      <x:c r="X66" s="12" t="n">
        <x:f aca="0">IF(X95=0,0,Assumptions!$C$58+MAX(0,X96+Assumptions!$C$59-Assumptions!$C$58))*Assumptions!$C$54</x:f>
        <x:v>28000</x:v>
      </x:c>
      <x:c r="Y66" s="12" t="n">
        <x:f aca="0">IF(Y95=0,0,Assumptions!$C$58+MAX(0,Y96+Assumptions!$C$59-Assumptions!$C$58))*Assumptions!$C$54</x:f>
        <x:v>28000</x:v>
      </x:c>
      <x:c r="Z66" s="12" t="n">
        <x:f aca="0">IF(Z95=0,0,Assumptions!$C$58+MAX(0,Z96+Assumptions!$C$59-Assumptions!$C$58))*Assumptions!$C$54</x:f>
        <x:v>28000</x:v>
      </x:c>
    </x:row>
    <x:row r="67" ht="16.5" hidden="0" customHeight="1">
      <x:c r="A67" s="11" t="s">
        <x:v>350</x:v>
      </x:c>
      <x:c r="B67" s="1" t="s">
        <x:v>78</x:v>
      </x:c>
      <x:c r="C67" s="12" t="n">
        <x:f aca="0">IF(C102=0,0,Assumptions!$C$60+C103+Assumptions!$C$62)*Assumptions!$C$54</x:f>
        <x:v>0</x:v>
      </x:c>
      <x:c r="D67" s="12" t="n">
        <x:f aca="0">IF(D102=0,0,Assumptions!$C$60+D103+Assumptions!$C$62)*Assumptions!$C$54</x:f>
        <x:v>0</x:v>
      </x:c>
      <x:c r="E67" s="12" t="n">
        <x:f aca="0">IF(E102=0,0,Assumptions!$C$60+E103+Assumptions!$C$62)*Assumptions!$C$54</x:f>
        <x:v>0</x:v>
      </x:c>
      <x:c r="F67" s="12" t="n">
        <x:f aca="0">IF(F102=0,0,Assumptions!$C$60+F103+Assumptions!$C$62)*Assumptions!$C$54</x:f>
        <x:v>0</x:v>
      </x:c>
      <x:c r="G67" s="12" t="n">
        <x:f aca="0">IF(G102=0,0,Assumptions!$C$60+G103+Assumptions!$C$62)*Assumptions!$C$54</x:f>
        <x:v>0</x:v>
      </x:c>
      <x:c r="H67" s="12" t="n">
        <x:f aca="0">IF(H102=0,0,Assumptions!$C$60+H103+Assumptions!$C$62)*Assumptions!$C$54</x:f>
        <x:v>0</x:v>
      </x:c>
      <x:c r="I67" s="12" t="n">
        <x:f aca="0">IF(I102=0,0,Assumptions!$C$60+I103+Assumptions!$C$62)*Assumptions!$C$54</x:f>
        <x:v>0</x:v>
      </x:c>
      <x:c r="J67" s="12" t="n">
        <x:f aca="0">IF(J102=0,0,Assumptions!$C$60+J103+Assumptions!$C$62)*Assumptions!$C$54</x:f>
        <x:v>0</x:v>
      </x:c>
      <x:c r="K67" s="12" t="n">
        <x:f aca="0">IF(K102=0,0,Assumptions!$C$60+K103+Assumptions!$C$62)*Assumptions!$C$54</x:f>
        <x:v>0</x:v>
      </x:c>
      <x:c r="L67" s="12" t="n">
        <x:f aca="0">IF(L102=0,0,Assumptions!$C$60+L103+Assumptions!$C$62)*Assumptions!$C$54</x:f>
        <x:v>0</x:v>
      </x:c>
      <x:c r="M67" s="12" t="n">
        <x:f aca="0">IF(M102=0,0,Assumptions!$C$60+M103+Assumptions!$C$62)*Assumptions!$C$54</x:f>
        <x:v>0</x:v>
      </x:c>
      <x:c r="N67" s="12" t="n">
        <x:f aca="0">IF(N102=0,0,Assumptions!$C$60+N103+Assumptions!$C$62)*Assumptions!$C$54</x:f>
        <x:v>0</x:v>
      </x:c>
      <x:c r="O67" s="12" t="n">
        <x:f aca="0">IF(O102=0,0,Assumptions!$C$60+O103+Assumptions!$C$62)*Assumptions!$C$54</x:f>
        <x:v>0</x:v>
      </x:c>
      <x:c r="P67" s="12" t="n">
        <x:f aca="0">IF(P102=0,0,Assumptions!$C$60+P103+Assumptions!$C$62)*Assumptions!$C$54</x:f>
        <x:v>0</x:v>
      </x:c>
      <x:c r="Q67" s="12" t="n">
        <x:f aca="0">IF(Q102=0,0,Assumptions!$C$60+Q103+Assumptions!$C$62)*Assumptions!$C$54</x:f>
        <x:v>0</x:v>
      </x:c>
      <x:c r="R67" s="12" t="n">
        <x:f aca="0">IF(R102=0,0,Assumptions!$C$60+R103+Assumptions!$C$62)*Assumptions!$C$54</x:f>
        <x:v>0</x:v>
      </x:c>
      <x:c r="S67" s="12" t="n">
        <x:f aca="0">IF(S102=0,0,Assumptions!$C$60+S103+Assumptions!$C$62)*Assumptions!$C$54</x:f>
        <x:v>0</x:v>
      </x:c>
      <x:c r="T67" s="12" t="n">
        <x:f aca="0">IF(T102=0,0,Assumptions!$C$60+T103+Assumptions!$C$62)*Assumptions!$C$54</x:f>
        <x:v>0</x:v>
      </x:c>
      <x:c r="U67" s="12" t="n">
        <x:f aca="0">IF(U102=0,0,Assumptions!$C$60+U103+Assumptions!$C$62)*Assumptions!$C$54</x:f>
        <x:v>0</x:v>
      </x:c>
      <x:c r="V67" s="12" t="n">
        <x:f aca="0">IF(V102=0,0,Assumptions!$C$60+V103+Assumptions!$C$62)*Assumptions!$C$54</x:f>
        <x:v>0</x:v>
      </x:c>
      <x:c r="W67" s="12" t="n">
        <x:f aca="0">IF(W102=0,0,Assumptions!$C$60+W103+Assumptions!$C$62)*Assumptions!$C$54</x:f>
        <x:v>0</x:v>
      </x:c>
      <x:c r="X67" s="12" t="n">
        <x:f aca="0">IF(X102=0,0,Assumptions!$C$60+X103+Assumptions!$C$62)*Assumptions!$C$54</x:f>
        <x:v>0</x:v>
      </x:c>
      <x:c r="Y67" s="12" t="n">
        <x:f aca="0">IF(Y102=0,0,Assumptions!$C$60+Y103+Assumptions!$C$62)*Assumptions!$C$54</x:f>
        <x:v>0</x:v>
      </x:c>
      <x:c r="Z67" s="12" t="n">
        <x:f aca="0">IF(Z102=0,0,Assumptions!$C$60+Z103+Assumptions!$C$62)*Assumptions!$C$54</x:f>
        <x:v>0</x:v>
      </x:c>
    </x:row>
    <x:row r="68" ht="16.5" hidden="0" customHeight="1">
      <x:c r="A68" s="1" t="s">
        <x:v>351</x:v>
      </x:c>
      <x:c r="B68" s="1" t="s">
        <x:v>78</x:v>
      </x:c>
      <x:c r="C68" s="12" t="n">
        <x:f aca="0">C50*Assumptions!$C$63</x:f>
        <x:v>0</x:v>
      </x:c>
      <x:c r="D68" s="12" t="n">
        <x:f aca="0">D50*Assumptions!$C$63</x:f>
        <x:v>4839.297266700001</x:v>
      </x:c>
      <x:c r="E68" s="12" t="n">
        <x:f aca="0">E50*Assumptions!$C$63</x:f>
        <x:v>6650.490395602801</x:v>
      </x:c>
      <x:c r="F68" s="12" t="n">
        <x:f aca="0">F50*Assumptions!$C$63</x:f>
        <x:v>8404.216548984</x:v>
      </x:c>
      <x:c r="G68" s="12" t="n">
        <x:f aca="0">G50*Assumptions!$C$63</x:f>
        <x:v>10151.151152349026</x:v>
      </x:c>
      <x:c r="H68" s="12" t="n">
        <x:f aca="0">H50*Assumptions!$C$63</x:f>
        <x:v>11900.522164223688</x:v>
      </x:c>
      <x:c r="I68" s="12" t="n">
        <x:f aca="0">I50*Assumptions!$C$63</x:f>
        <x:v>13657.885665619626</x:v>
      </x:c>
      <x:c r="J68" s="12" t="n">
        <x:f aca="0">J50*Assumptions!$C$63</x:f>
        <x:v>15428.72774892153</x:v>
      </x:c>
      <x:c r="K68" s="12" t="n">
        <x:f aca="0">K50*Assumptions!$C$63</x:f>
        <x:v>17218.48327718719</x:v>
      </x:c>
      <x:c r="L68" s="12" t="n">
        <x:f aca="0">L50*Assumptions!$C$63</x:f>
        <x:v>19032.55415685369</x:v>
      </x:c>
      <x:c r="M68" s="12" t="n">
        <x:f aca="0">M50*Assumptions!$C$63</x:f>
        <x:v>20876.32719069185</x:v>
      </x:c>
      <x:c r="N68" s="12" t="n">
        <x:f aca="0">N50*Assumptions!$C$63</x:f>
        <x:v>22755.19157535821</x:v>
      </x:c>
      <x:c r="O68" s="12" t="n">
        <x:f aca="0">O50*Assumptions!$C$63</x:f>
        <x:v>24674.55610564945</x:v>
      </x:c>
      <x:c r="P68" s="12" t="n">
        <x:f aca="0">P50*Assumptions!$C$63</x:f>
        <x:v>26639.866145557768</x:v>
      </x:c>
      <x:c r="Q68" s="12" t="n">
        <x:f aca="0">Q50*Assumptions!$C$63</x:f>
        <x:v>28656.620424445446</x:v>
      </x:c>
      <x:c r="R68" s="12" t="n">
        <x:f aca="0">R50*Assumptions!$C$63</x:f>
        <x:v>30730.387715094475</x:v>
      </x:c>
      <x:c r="S68" s="12" t="n">
        <x:f aca="0">S50*Assumptions!$C$63</x:f>
        <x:v>32866.82344903265</x:v>
      </x:c>
      <x:c r="T68" s="12" t="n">
        <x:f aca="0">T50*Assumptions!$C$63</x:f>
        <x:v>35071.68632338399</x:v>
      </x:c>
      <x:c r="U68" s="12" t="n">
        <x:f aca="0">U50*Assumptions!$C$63</x:f>
        <x:v>37350.854952531314</x:v>
      </x:c>
      <x:c r="V68" s="12" t="n">
        <x:f aca="0">V50*Assumptions!$C$63</x:f>
        <x:v>39710.34461710541</x:v>
      </x:c>
      <x:c r="W68" s="12" t="n">
        <x:f aca="0">W50*Assumptions!$C$63</x:f>
        <x:v>42156.32416222356</x:v>
      </x:c>
      <x:c r="X68" s="12" t="n">
        <x:f aca="0">X50*Assumptions!$C$63</x:f>
        <x:v>44695.133096484795</x:v>
      </x:c>
      <x:c r="Y68" s="12" t="n">
        <x:f aca="0">Y50*Assumptions!$C$63</x:f>
        <x:v>47333.2989429855</x:v>
      </x:c>
      <x:c r="Z68" s="12" t="n">
        <x:f aca="0">Z50*Assumptions!$C$63</x:f>
        <x:v>50077.55489354394</x:v>
      </x:c>
    </x:row>
    <x:row r="69" ht="16.5" hidden="0" customHeight="1">
      <x:c r="A69" s="11" t="s">
        <x:v>352</x:v>
      </x:c>
      <x:c r="B69" s="1" t="s">
        <x:v>78</x:v>
      </x:c>
      <x:c r="C69" s="12" t="n">
        <x:f aca="0">Assumptions!$C$64+Assumptions!$C$65</x:f>
        <x:v>330000</x:v>
      </x:c>
      <x:c r="D69" s="12" t="n">
        <x:f aca="0">0+0</x:f>
        <x:v>0</x:v>
      </x:c>
      <x:c r="E69" s="12" t="n">
        <x:f aca="0">0+0</x:f>
        <x:v>0</x:v>
      </x:c>
      <x:c r="F69" s="12" t="n">
        <x:f aca="0">0+0</x:f>
        <x:v>0</x:v>
      </x:c>
      <x:c r="G69" s="12" t="n">
        <x:f aca="0">0+0</x:f>
        <x:v>0</x:v>
      </x:c>
      <x:c r="H69" s="12" t="n">
        <x:f aca="0">0+0</x:f>
        <x:v>0</x:v>
      </x:c>
      <x:c r="I69" s="12" t="n">
        <x:f aca="0">0+0</x:f>
        <x:v>0</x:v>
      </x:c>
      <x:c r="J69" s="12" t="n">
        <x:f aca="0">0+0</x:f>
        <x:v>0</x:v>
      </x:c>
      <x:c r="K69" s="12" t="n">
        <x:f aca="0">0+0</x:f>
        <x:v>0</x:v>
      </x:c>
      <x:c r="L69" s="12" t="n">
        <x:f aca="0">0+0</x:f>
        <x:v>0</x:v>
      </x:c>
      <x:c r="M69" s="12" t="n">
        <x:f aca="0">0+0</x:f>
        <x:v>0</x:v>
      </x:c>
      <x:c r="N69" s="12" t="n">
        <x:f aca="0">0+0</x:f>
        <x:v>0</x:v>
      </x:c>
      <x:c r="O69" s="12" t="n">
        <x:f aca="0">0+Assumptions!$C$65</x:f>
        <x:v>110000</x:v>
      </x:c>
      <x:c r="P69" s="12" t="n">
        <x:f aca="0">0+0</x:f>
        <x:v>0</x:v>
      </x:c>
      <x:c r="Q69" s="12" t="n">
        <x:f aca="0">0+0</x:f>
        <x:v>0</x:v>
      </x:c>
      <x:c r="R69" s="12" t="n">
        <x:f aca="0">0+0</x:f>
        <x:v>0</x:v>
      </x:c>
      <x:c r="S69" s="12" t="n">
        <x:f aca="0">0+0</x:f>
        <x:v>0</x:v>
      </x:c>
      <x:c r="T69" s="12" t="n">
        <x:f aca="0">0+0</x:f>
        <x:v>0</x:v>
      </x:c>
      <x:c r="U69" s="12" t="n">
        <x:f aca="0">0+0</x:f>
        <x:v>0</x:v>
      </x:c>
      <x:c r="V69" s="12" t="n">
        <x:f aca="0">0+0</x:f>
        <x:v>0</x:v>
      </x:c>
      <x:c r="W69" s="12" t="n">
        <x:f aca="0">0+0</x:f>
        <x:v>0</x:v>
      </x:c>
      <x:c r="X69" s="12" t="n">
        <x:f aca="0">0+0</x:f>
        <x:v>0</x:v>
      </x:c>
      <x:c r="Y69" s="12" t="n">
        <x:f aca="0">0+0</x:f>
        <x:v>0</x:v>
      </x:c>
      <x:c r="Z69" s="12" t="n">
        <x:f aca="0">0+0</x:f>
        <x:v>0</x:v>
      </x:c>
    </x:row>
    <x:row r="70" ht="16.5" hidden="0" customHeight="1">
      <x:c r="A70" s="1" t="s">
        <x:v>353</x:v>
      </x:c>
      <x:c r="B70" s="1" t="s">
        <x:v>78</x:v>
      </x:c>
      <x:c r="C70" s="12" t="n">
        <x:f aca="0">SUM(C34,C40,C41,C42)*Assumptions!$C$66</x:f>
        <x:v>3626</x:v>
      </x:c>
      <x:c r="D70" s="12" t="n">
        <x:f aca="0">SUM(D34,D40,D41,D42)*Assumptions!$C$66</x:f>
        <x:v>5350.244</x:v>
      </x:c>
      <x:c r="E70" s="12" t="n">
        <x:f aca="0">SUM(E34,E40,E41,E42)*Assumptions!$C$66</x:f>
        <x:v>6519.7646</x:v>
      </x:c>
      <x:c r="F70" s="12" t="n">
        <x:f aca="0">SUM(F34,F40,F41,F42)*Assumptions!$C$66</x:f>
        <x:v>7534.097307200002</x:v>
      </x:c>
      <x:c r="G70" s="12" t="n">
        <x:f aca="0">SUM(G34,G40,G41,G42)*Assumptions!$C$66</x:f>
        <x:v>8447.625928659203</x:v>
      </x:c>
      <x:c r="H70" s="12" t="n">
        <x:f aca="0">SUM(H34,H40,H41,H42)*Assumptions!$C$66</x:f>
        <x:v>9297.247588609016</x:v>
      </x:c>
      <x:c r="I70" s="12" t="n">
        <x:f aca="0">SUM(I34,I40,I41,I42)*Assumptions!$C$66</x:f>
        <x:v>10109.348277756839</x:v>
      </x:c>
      <x:c r="J70" s="12" t="n">
        <x:f aca="0">SUM(J34,J40,J41,J42)*Assumptions!$C$66</x:f>
        <x:v>10902.96968016606</x:v>
      </x:c>
      <x:c r="K70" s="12" t="n">
        <x:f aca="0">SUM(K34,K40,K41,K42)*Assumptions!$C$66</x:f>
        <x:v>11692.027548868518</x:v>
      </x:c>
      <x:c r="L70" s="12" t="n">
        <x:f aca="0">SUM(L34,L40,L41,L42)*Assumptions!$C$66</x:f>
        <x:v>12486.866186392377</x:v>
      </x:c>
      <x:c r="M70" s="12" t="n">
        <x:f aca="0">SUM(M34,M40,M41,M42)*Assumptions!$C$66</x:f>
        <x:v>13295.348224351972</x:v>
      </x:c>
      <x:c r="N70" s="12" t="n">
        <x:f aca="0">SUM(N34,N40,N41,N42)*Assumptions!$C$66</x:f>
        <x:v>14123.619142819874</x:v>
      </x:c>
      <x:c r="O70" s="12" t="n">
        <x:f aca="0">SUM(O34,O40,O41,O42)*Assumptions!$C$66</x:f>
        <x:v>14976.644142817446</x:v>
      </x:c>
      <x:c r="P70" s="12" t="n">
        <x:f aca="0">SUM(P34,P40,P41,P42)*Assumptions!$C$66</x:f>
        <x:v>15858.585706121283</x:v>
      </x:c>
      <x:c r="Q70" s="12" t="n">
        <x:f aca="0">SUM(Q34,Q40,Q41,Q42)*Assumptions!$C$66</x:f>
        <x:v>16773.069681230332</x:v>
      </x:c>
      <x:c r="R70" s="12" t="n">
        <x:f aca="0">SUM(R34,R40,R41,R42)*Assumptions!$C$66</x:f>
        <x:v>17723.373387651554</x:v>
      </x:c>
      <x:c r="S70" s="12" t="n">
        <x:f aca="0">SUM(S34,S40,S41,S42)*Assumptions!$C$66</x:f>
        <x:v>18712.559188055693</x:v>
      </x:c>
      <x:c r="T70" s="12" t="n">
        <x:f aca="0">SUM(T34,T40,T41,T42)*Assumptions!$C$66</x:f>
        <x:v>19743.56994811967</x:v>
      </x:c>
      <x:c r="U70" s="12" t="n">
        <x:f aca="0">SUM(U34,U40,U41,U42)*Assumptions!$C$66</x:f>
        <x:v>20819.29788316205</x:v>
      </x:c>
      <x:c r="V70" s="12" t="n">
        <x:f aca="0">SUM(V34,V40,V41,V42)*Assumptions!$C$66</x:f>
        <x:v>21942.634846300072</x:v>
      </x:c>
      <x:c r="W70" s="12" t="n">
        <x:f aca="0">SUM(W34,W40,W41,W42)*Assumptions!$C$66</x:f>
        <x:v>23116.509701926858</x:v>
      </x:c>
      <x:c r="X70" s="12" t="n">
        <x:f aca="0">SUM(X34,X40,X41,X42)*Assumptions!$C$66</x:f>
        <x:v>24343.916740805635</x:v>
      </x:c>
      <x:c r="Y70" s="12" t="n">
        <x:f aca="0">SUM(Y34,Y40,Y41,Y42)*Assumptions!$C$66</x:f>
        <x:v>25627.937911992103</x:v>
      </x:c>
      <x:c r="Z70" s="12" t="n">
        <x:f aca="0">SUM(Z34,Z40,Z41,Z42)*Assumptions!$C$66</x:f>
        <x:v>26971.760820216616</x:v>
      </x:c>
    </x:row>
    <x:row r="71" ht="16.5" hidden="0" customHeight="1">
      <x:c r="A71" s="1" t="s">
        <x:v>354</x:v>
      </x:c>
      <x:c r="B71" s="1" t="s">
        <x:v>78</x:v>
      </x:c>
      <x:c r="C71" s="12" t="n">
        <x:f aca="0">Assumptions!$C$67</x:f>
        <x:v>0</x:v>
      </x:c>
      <x:c r="D71" s="12" t="n">
        <x:f aca="0">Assumptions!$C$67</x:f>
        <x:v>0</x:v>
      </x:c>
      <x:c r="E71" s="12" t="n">
        <x:f aca="0">Assumptions!$C$67</x:f>
        <x:v>0</x:v>
      </x:c>
      <x:c r="F71" s="12" t="n">
        <x:f aca="0">Assumptions!$C$67</x:f>
        <x:v>0</x:v>
      </x:c>
      <x:c r="G71" s="12" t="n">
        <x:f aca="0">Assumptions!$C$67</x:f>
        <x:v>0</x:v>
      </x:c>
      <x:c r="H71" s="12" t="n">
        <x:f aca="0">Assumptions!$C$67</x:f>
        <x:v>0</x:v>
      </x:c>
      <x:c r="I71" s="12" t="n">
        <x:f aca="0">Assumptions!$C$67</x:f>
        <x:v>0</x:v>
      </x:c>
      <x:c r="J71" s="12" t="n">
        <x:f aca="0">Assumptions!$C$67</x:f>
        <x:v>0</x:v>
      </x:c>
      <x:c r="K71" s="12" t="n">
        <x:f aca="0">Assumptions!$C$67</x:f>
        <x:v>0</x:v>
      </x:c>
      <x:c r="L71" s="12" t="n">
        <x:f aca="0">Assumptions!$C$67</x:f>
        <x:v>0</x:v>
      </x:c>
      <x:c r="M71" s="12" t="n">
        <x:f aca="0">Assumptions!$C$67</x:f>
        <x:v>0</x:v>
      </x:c>
      <x:c r="N71" s="12" t="n">
        <x:f aca="0">Assumptions!$C$67</x:f>
        <x:v>0</x:v>
      </x:c>
      <x:c r="O71" s="12" t="n">
        <x:f aca="0">Assumptions!$C$67</x:f>
        <x:v>0</x:v>
      </x:c>
      <x:c r="P71" s="12" t="n">
        <x:f aca="0">Assumptions!$C$67</x:f>
        <x:v>0</x:v>
      </x:c>
      <x:c r="Q71" s="12" t="n">
        <x:f aca="0">Assumptions!$C$67</x:f>
        <x:v>0</x:v>
      </x:c>
      <x:c r="R71" s="12" t="n">
        <x:f aca="0">Assumptions!$C$67</x:f>
        <x:v>0</x:v>
      </x:c>
      <x:c r="S71" s="12" t="n">
        <x:f aca="0">Assumptions!$C$67</x:f>
        <x:v>0</x:v>
      </x:c>
      <x:c r="T71" s="12" t="n">
        <x:f aca="0">Assumptions!$C$67</x:f>
        <x:v>0</x:v>
      </x:c>
      <x:c r="U71" s="12" t="n">
        <x:f aca="0">Assumptions!$C$67</x:f>
        <x:v>0</x:v>
      </x:c>
      <x:c r="V71" s="12" t="n">
        <x:f aca="0">Assumptions!$C$67</x:f>
        <x:v>0</x:v>
      </x:c>
      <x:c r="W71" s="12" t="n">
        <x:f aca="0">Assumptions!$C$67</x:f>
        <x:v>0</x:v>
      </x:c>
      <x:c r="X71" s="12" t="n">
        <x:f aca="0">Assumptions!$C$67</x:f>
        <x:v>0</x:v>
      </x:c>
      <x:c r="Y71" s="12" t="n">
        <x:f aca="0">Assumptions!$C$67</x:f>
        <x:v>0</x:v>
      </x:c>
      <x:c r="Z71" s="12" t="n">
        <x:f aca="0">Assumptions!$C$67</x:f>
        <x:v>0</x:v>
      </x:c>
    </x:row>
    <x:row r="72" ht="16.5" hidden="0" customHeight="1">
      <x:c r="A72" s="1" t="s">
        <x:v>355</x:v>
      </x:c>
      <x:c r="B72" s="1" t="s">
        <x:v>78</x:v>
      </x:c>
      <x:c r="C72" s="12" t="n">
        <x:f aca="0">Assumptions!$C$68</x:f>
        <x:v>0</x:v>
      </x:c>
      <x:c r="D72" s="12" t="n">
        <x:f aca="0">Assumptions!$C$68</x:f>
        <x:v>0</x:v>
      </x:c>
      <x:c r="E72" s="12" t="n">
        <x:f aca="0">Assumptions!$C$68</x:f>
        <x:v>0</x:v>
      </x:c>
      <x:c r="F72" s="12" t="n">
        <x:f aca="0">Assumptions!$C$68</x:f>
        <x:v>0</x:v>
      </x:c>
      <x:c r="G72" s="12" t="n">
        <x:f aca="0">Assumptions!$C$68</x:f>
        <x:v>0</x:v>
      </x:c>
      <x:c r="H72" s="12" t="n">
        <x:f aca="0">Assumptions!$C$68</x:f>
        <x:v>0</x:v>
      </x:c>
      <x:c r="I72" s="12" t="n">
        <x:f aca="0">Assumptions!$C$68</x:f>
        <x:v>0</x:v>
      </x:c>
      <x:c r="J72" s="12" t="n">
        <x:f aca="0">Assumptions!$C$68</x:f>
        <x:v>0</x:v>
      </x:c>
      <x:c r="K72" s="12" t="n">
        <x:f aca="0">Assumptions!$C$68</x:f>
        <x:v>0</x:v>
      </x:c>
      <x:c r="L72" s="12" t="n">
        <x:f aca="0">Assumptions!$C$68</x:f>
        <x:v>0</x:v>
      </x:c>
      <x:c r="M72" s="12" t="n">
        <x:f aca="0">Assumptions!$C$68</x:f>
        <x:v>0</x:v>
      </x:c>
      <x:c r="N72" s="12" t="n">
        <x:f aca="0">Assumptions!$C$68</x:f>
        <x:v>0</x:v>
      </x:c>
      <x:c r="O72" s="12" t="n">
        <x:f aca="0">Assumptions!$C$68</x:f>
        <x:v>0</x:v>
      </x:c>
      <x:c r="P72" s="12" t="n">
        <x:f aca="0">Assumptions!$C$68</x:f>
        <x:v>0</x:v>
      </x:c>
      <x:c r="Q72" s="12" t="n">
        <x:f aca="0">Assumptions!$C$68</x:f>
        <x:v>0</x:v>
      </x:c>
      <x:c r="R72" s="12" t="n">
        <x:f aca="0">Assumptions!$C$68</x:f>
        <x:v>0</x:v>
      </x:c>
      <x:c r="S72" s="12" t="n">
        <x:f aca="0">Assumptions!$C$68</x:f>
        <x:v>0</x:v>
      </x:c>
      <x:c r="T72" s="12" t="n">
        <x:f aca="0">Assumptions!$C$68</x:f>
        <x:v>0</x:v>
      </x:c>
      <x:c r="U72" s="12" t="n">
        <x:f aca="0">Assumptions!$C$68</x:f>
        <x:v>0</x:v>
      </x:c>
      <x:c r="V72" s="12" t="n">
        <x:f aca="0">Assumptions!$C$68</x:f>
        <x:v>0</x:v>
      </x:c>
      <x:c r="W72" s="12" t="n">
        <x:f aca="0">Assumptions!$C$68</x:f>
        <x:v>0</x:v>
      </x:c>
      <x:c r="X72" s="12" t="n">
        <x:f aca="0">Assumptions!$C$68</x:f>
        <x:v>0</x:v>
      </x:c>
      <x:c r="Y72" s="12" t="n">
        <x:f aca="0">Assumptions!$C$68</x:f>
        <x:v>0</x:v>
      </x:c>
      <x:c r="Z72" s="12" t="n">
        <x:f aca="0">Assumptions!$C$68</x:f>
        <x:v>0</x:v>
      </x:c>
    </x:row>
    <x:row r="73" ht="16.5" hidden="0" customHeight="1">
      <x:c r="A73" s="1" t="s">
        <x:v>356</x:v>
      </x:c>
      <x:c r="B73" s="1" t="s">
        <x:v>78</x:v>
      </x:c>
      <x:c r="C73" s="12" t="n">
        <x:f aca="0">Assumptions!$C$69</x:f>
        <x:v>200000</x:v>
      </x:c>
      <x:c r="D73" s="12" t="n">
        <x:f aca="0">Assumptions!$C$69</x:f>
        <x:v>200000</x:v>
      </x:c>
      <x:c r="E73" s="12" t="n">
        <x:f aca="0">Assumptions!$C$69</x:f>
        <x:v>200000</x:v>
      </x:c>
      <x:c r="F73" s="12" t="n">
        <x:f aca="0">Assumptions!$C$69</x:f>
        <x:v>200000</x:v>
      </x:c>
      <x:c r="G73" s="12" t="n">
        <x:f aca="0">Assumptions!$C$69</x:f>
        <x:v>200000</x:v>
      </x:c>
      <x:c r="H73" s="12" t="n">
        <x:f aca="0">Assumptions!$C$69</x:f>
        <x:v>200000</x:v>
      </x:c>
      <x:c r="I73" s="12" t="n">
        <x:f aca="0">Assumptions!$C$69</x:f>
        <x:v>200000</x:v>
      </x:c>
      <x:c r="J73" s="12" t="n">
        <x:f aca="0">Assumptions!$C$69</x:f>
        <x:v>200000</x:v>
      </x:c>
      <x:c r="K73" s="12" t="n">
        <x:f aca="0">Assumptions!$C$69</x:f>
        <x:v>200000</x:v>
      </x:c>
      <x:c r="L73" s="12" t="n">
        <x:f aca="0">Assumptions!$C$69</x:f>
        <x:v>200000</x:v>
      </x:c>
      <x:c r="M73" s="12" t="n">
        <x:f aca="0">Assumptions!$C$69</x:f>
        <x:v>200000</x:v>
      </x:c>
      <x:c r="N73" s="12" t="n">
        <x:f aca="0">Assumptions!$C$69</x:f>
        <x:v>200000</x:v>
      </x:c>
      <x:c r="O73" s="12" t="n">
        <x:f aca="0">Assumptions!$C$69</x:f>
        <x:v>200000</x:v>
      </x:c>
      <x:c r="P73" s="12" t="n">
        <x:f aca="0">Assumptions!$C$69</x:f>
        <x:v>200000</x:v>
      </x:c>
      <x:c r="Q73" s="12" t="n">
        <x:f aca="0">Assumptions!$C$69</x:f>
        <x:v>200000</x:v>
      </x:c>
      <x:c r="R73" s="12" t="n">
        <x:f aca="0">Assumptions!$C$69</x:f>
        <x:v>200000</x:v>
      </x:c>
      <x:c r="S73" s="12" t="n">
        <x:f aca="0">Assumptions!$C$69</x:f>
        <x:v>200000</x:v>
      </x:c>
      <x:c r="T73" s="12" t="n">
        <x:f aca="0">Assumptions!$C$69</x:f>
        <x:v>200000</x:v>
      </x:c>
      <x:c r="U73" s="12" t="n">
        <x:f aca="0">Assumptions!$C$69</x:f>
        <x:v>200000</x:v>
      </x:c>
      <x:c r="V73" s="12" t="n">
        <x:f aca="0">Assumptions!$C$69</x:f>
        <x:v>200000</x:v>
      </x:c>
      <x:c r="W73" s="12" t="n">
        <x:f aca="0">Assumptions!$C$69</x:f>
        <x:v>200000</x:v>
      </x:c>
      <x:c r="X73" s="12" t="n">
        <x:f aca="0">Assumptions!$C$69</x:f>
        <x:v>200000</x:v>
      </x:c>
      <x:c r="Y73" s="12" t="n">
        <x:f aca="0">Assumptions!$C$69</x:f>
        <x:v>200000</x:v>
      </x:c>
      <x:c r="Z73" s="12" t="n">
        <x:f aca="0">Assumptions!$C$69</x:f>
        <x:v>200000</x:v>
      </x:c>
    </x:row>
    <x:row r="74" ht="16.5" hidden="0" customHeight="1">
      <x:c r="A74" s="10" t="s">
        <x:v>357</x:v>
      </x:c>
      <x:c r="B74" s="10" t="s">
        <x:v>78</x:v>
      </x:c>
      <x:c r="C74" s="34" t="n">
        <x:f aca="0">SUM(C63:C73)</x:f>
        <x:v>566037.14061248</x:v>
      </x:c>
      <x:c r="D74" s="34" t="n">
        <x:f aca="0">SUM(D63:D73)</x:f>
        <x:v>242023.08369829832</x:v>
      </x:c>
      <x:c r="E74" s="34" t="n">
        <x:f aca="0">SUM(E63:E73)</x:f>
        <x:v>245939.41653273022</x:v>
      </x:c>
      <x:c r="F74" s="34" t="n">
        <x:f aca="0">SUM(F63:F73)</x:f>
        <x:v>249644.16825852607</x:v>
      </x:c>
      <x:c r="G74" s="34" t="n">
        <x:f aca="0">SUM(G63:G73)</x:f>
        <x:v>253243.47196537073</x:v>
      </x:c>
      <x:c r="H74" s="34" t="n">
        <x:f aca="0">SUM(H63:H73)</x:f>
        <x:v>256786.42008655486</x:v>
      </x:c>
      <x:c r="I74" s="34" t="n">
        <x:f aca="0">SUM(I63:I73)</x:f>
        <x:v>260307.8873737972</x:v>
      </x:c>
      <x:c r="J74" s="34" t="n">
        <x:f aca="0">SUM(J63:J73)</x:f>
        <x:v>263835.30959392106</x:v>
      </x:c>
      <x:c r="K74" s="34" t="n">
        <x:f aca="0">SUM(K63:K73)</x:f>
        <x:v>267390.93039399746</x:v>
      </x:c>
      <x:c r="L74" s="34" t="n">
        <x:f aca="0">SUM(L63:L73)</x:f>
        <x:v>270993.38356958004</x:v>
      </x:c>
      <x:c r="M74" s="34" t="n">
        <x:f aca="0">SUM(M63:M73)</x:f>
        <x:v>274658.8100311699</x:v>
      </x:c>
      <x:c r="N74" s="34" t="n">
        <x:f aca="0">SUM(N63:N73)</x:f>
        <x:v>278401.64900696353</x:v>
      </x:c>
      <x:c r="O74" s="34" t="n">
        <x:f aca="0">SUM(O63:O73)</x:f>
        <x:v>392235.20118926605</x:v>
      </x:c>
      <x:c r="P74" s="34" t="n">
        <x:f aca="0">SUM(P63:P73)</x:f>
        <x:v>286172.0322498878</x:v>
      </x:c>
      <x:c r="Q74" s="34" t="n">
        <x:f aca="0">SUM(Q63:Q73)</x:f>
        <x:v>290224.26465190103</x:v>
      </x:c>
      <x:c r="R74" s="34" t="n">
        <x:f aca="0">SUM(R63:R73)</x:f>
        <x:v>294403.7913361897</x:v>
      </x:c>
      <x:c r="S74" s="34" t="n">
        <x:f aca="0">SUM(S63:S73)</x:f>
        <x:v>298722.4348166774</x:v>
      </x:c>
      <x:c r="T74" s="34" t="n">
        <x:f aca="0">SUM(T63:T73)</x:f>
        <x:v>303192.0681867391</x:v>
      </x:c>
      <x:c r="U74" s="34" t="n">
        <x:f aca="0">SUM(U63:U73)</x:f>
        <x:v>307824.7096172507</x:v>
      </x:c>
      <x:c r="V74" s="34" t="n">
        <x:f aca="0">SUM(V63:V73)</x:f>
        <x:v>312632.5984812851</x:v>
      </x:c>
      <x:c r="W74" s="34" t="n">
        <x:f aca="0">SUM(W63:W73)</x:f>
        <x:v>317628.2588287447</x:v>
      </x:c>
      <x:c r="X74" s="34" t="n">
        <x:f aca="0">SUM(X63:X73)</x:f>
        <x:v>322824.55424620264</x:v>
      </x:c>
      <x:c r="Y74" s="34" t="n">
        <x:f aca="0">SUM(Y63:Y73)</x:f>
        <x:v>328234.73695587396</x:v>
      </x:c>
      <x:c r="Z74" s="34" t="n">
        <x:f aca="0">SUM(Z63:Z73)</x:f>
        <x:v>333872.4931810618</x:v>
      </x:c>
    </x:row>
    <x:row r="75" ht="16.5" hidden="0" customHeight="1">
      <x:c r="A75" s="10" t="s">
        <x:v>358</x:v>
      </x:c>
      <x:c r="B75" s="10" t="s">
        <x:v>78</x:v>
      </x:c>
      <x:c r="C75" s="34" t="n">
        <x:f aca="0">C52-C74</x:f>
        <x:v>-566037.14061248</x:v>
      </x:c>
      <x:c r="D75" s="34" t="n">
        <x:f aca="0">D52-D74</x:f>
        <x:v>-112630.10865284374</x:v>
      </x:c>
      <x:c r="E75" s="34" t="n">
        <x:f aca="0">E52-E74</x:f>
        <x:v>-68118.81771982112</x:v>
      </x:c>
      <x:c r="F75" s="34" t="n">
        <x:f aca="0">F52-F74</x:f>
        <x:v>-24932.495825798775</x:v>
      </x:c>
      <x:c r="G75" s="34" t="n">
        <x:f aca="0">G52-G74</x:f>
        <x:v>18177.68184075292</x:v>
      </x:c>
      <x:c r="H75" s="34" t="n">
        <x:f aca="0">H52-H74</x:f>
        <x:v>61409.359705522336</x:v>
      </x:c>
      <x:c r="I75" s="34" t="n">
        <x:f aca="0">I52-I74</x:f>
        <x:v>104876.22133260989</x:v>
      </x:c>
      <x:c r="J75" s="34" t="n">
        <x:f aca="0">J52-J74</x:f>
        <x:v>148697.51791734976</x:v>
      </x:c>
      <x:c r="K75" s="34" t="n">
        <x:f aca="0">K52-K74</x:f>
        <x:v>192996.3230067296</x:v>
      </x:c>
      <x:c r="L75" s="34" t="n">
        <x:f aca="0">L52-L74</x:f>
        <x:v>237898.438806187</x:v>
      </x:c>
      <x:c r="M75" s="34" t="n">
        <x:f aca="0">M52-M74</x:f>
        <x:v>283531.75656486885</x:v>
      </x:c>
      <x:c r="N75" s="34" t="n">
        <x:f aca="0">N52-N74</x:f>
        <x:v>330025.9332218656</x:v>
      </x:c>
      <x:c r="O75" s="34" t="n">
        <x:f aca="0">O52-O74</x:f>
        <x:v>267512.2882666016</x:v>
      </x:c>
      <x:c r="P75" s="34" t="n">
        <x:f aca="0">P52-P74</x:f>
        <x:v>426123.8539949722</x:v>
      </x:c>
      <x:c r="Q75" s="34" t="n">
        <x:f aca="0">Q52-Q74</x:f>
        <x:v>475995.5327931643</x:v>
      </x:c>
      <x:c r="R75" s="34" t="n">
        <x:f aca="0">R52-R74</x:f>
        <x:v>527264.3293882615</x:v>
      </x:c>
      <x:c r="S75" s="34" t="n">
        <x:f aca="0">S52-S74</x:f>
        <x:v>580069.6360130724</x:v>
      </x:c>
      <x:c r="T75" s="34" t="n">
        <x:f aca="0">T52-T74</x:f>
        <x:v>634553.5554331535</x:v>
      </x:c>
      <x:c r="U75" s="34" t="n">
        <x:f aca="0">U52-U74</x:f>
        <x:v>690861.2516803779</x:v>
      </x:c>
      <x:c r="V75" s="34" t="n">
        <x:f aca="0">V52-V74</x:f>
        <x:v>749141.3217621751</x:v>
      </x:c>
      <x:c r="W75" s="34" t="n">
        <x:f aca="0">W52-W74</x:f>
        <x:v>809546.1840114573</x:v>
      </x:c>
      <x:c r="X75" s="34" t="n">
        <x:f aca="0">X52-X74</x:f>
        <x:v>872232.4804191662</x:v>
      </x:c>
      <x:c r="Y75" s="34" t="n">
        <x:f aca="0">Y52-Y74</x:f>
        <x:v>937361.4914661983</x:v>
      </x:c>
      <x:c r="Z75" s="34" t="n">
        <x:f aca="0">Z52-Z74</x:f>
        <x:v>1005099.5627960487</x:v>
      </x:c>
    </x:row>
    <x:row r="76" ht="16.5" hidden="0" customHeight="1">
      <x:c r="A76" s="1" t="s">
        <x:v>359</x:v>
      </x:c>
      <x:c r="B76" s="1" t="s">
        <x:v>78</x:v>
      </x:c>
      <x:c r="C76" s="12" t="n">
        <x:f aca="0">0</x:f>
        <x:v>0</x:v>
      </x:c>
      <x:c r="D76" s="12" t="n">
        <x:f aca="0">C79</x:f>
        <x:v>566037.14061248</x:v>
      </x:c>
      <x:c r="E76" s="12" t="n">
        <x:f aca="0">D79</x:f>
        <x:v>678667.2492653237</x:v>
      </x:c>
      <x:c r="F76" s="12" t="n">
        <x:f aca="0">E79</x:f>
        <x:v>746786.0669851449</x:v>
      </x:c>
      <x:c r="G76" s="12" t="n">
        <x:f aca="0">F79</x:f>
        <x:v>771718.5628109437</x:v>
      </x:c>
      <x:c r="H76" s="12" t="n">
        <x:f aca="0">G79</x:f>
        <x:v>753540.8809701907</x:v>
      </x:c>
      <x:c r="I76" s="12" t="n">
        <x:f aca="0">H79</x:f>
        <x:v>692131.5212646684</x:v>
      </x:c>
      <x:c r="J76" s="12" t="n">
        <x:f aca="0">I79</x:f>
        <x:v>587255.2999320586</x:v>
      </x:c>
      <x:c r="K76" s="12" t="n">
        <x:f aca="0">J79</x:f>
        <x:v>438557.7820147088</x:v>
      </x:c>
      <x:c r="L76" s="12" t="n">
        <x:f aca="0">K79</x:f>
        <x:v>245561.4590079792</x:v>
      </x:c>
      <x:c r="M76" s="12" t="n">
        <x:f aca="0">L79</x:f>
        <x:v>7663.020201792184</x:v>
      </x:c>
      <x:c r="N76" s="12" t="n">
        <x:f aca="0">M79</x:f>
        <x:v>0</x:v>
      </x:c>
      <x:c r="O76" s="12" t="n">
        <x:f aca="0">N79</x:f>
        <x:v>0</x:v>
      </x:c>
      <x:c r="P76" s="12" t="n">
        <x:f aca="0">O79</x:f>
        <x:v>0</x:v>
      </x:c>
      <x:c r="Q76" s="12" t="n">
        <x:f aca="0">P79</x:f>
        <x:v>0</x:v>
      </x:c>
      <x:c r="R76" s="12" t="n">
        <x:f aca="0">Q79</x:f>
        <x:v>0</x:v>
      </x:c>
      <x:c r="S76" s="12" t="n">
        <x:f aca="0">R79</x:f>
        <x:v>0</x:v>
      </x:c>
      <x:c r="T76" s="12" t="n">
        <x:f aca="0">S79</x:f>
        <x:v>0</x:v>
      </x:c>
      <x:c r="U76" s="12" t="n">
        <x:f aca="0">T79</x:f>
        <x:v>0</x:v>
      </x:c>
      <x:c r="V76" s="12" t="n">
        <x:f aca="0">U79</x:f>
        <x:v>0</x:v>
      </x:c>
      <x:c r="W76" s="12" t="n">
        <x:f aca="0">V79</x:f>
        <x:v>0</x:v>
      </x:c>
      <x:c r="X76" s="12" t="n">
        <x:f aca="0">W79</x:f>
        <x:v>0</x:v>
      </x:c>
      <x:c r="Y76" s="12" t="n">
        <x:f aca="0">X79</x:f>
        <x:v>0</x:v>
      </x:c>
      <x:c r="Z76" s="12" t="n">
        <x:f aca="0">Y79</x:f>
        <x:v>0</x:v>
      </x:c>
    </x:row>
    <x:row r="77" ht="16.5" hidden="0" customHeight="1">
      <x:c r="A77" s="1" t="s">
        <x:v>360</x:v>
      </x:c>
      <x:c r="B77" s="1" t="s">
        <x:v>78</x:v>
      </x:c>
      <x:c r="C77" s="12" t="n">
        <x:f aca="0">MAX(0,C75-C76)</x:f>
        <x:v>0</x:v>
      </x:c>
      <x:c r="D77" s="12" t="n">
        <x:f aca="0">MAX(0,D75-D76)</x:f>
        <x:v>0</x:v>
      </x:c>
      <x:c r="E77" s="12" t="n">
        <x:f aca="0">MAX(0,E75-E76)</x:f>
        <x:v>0</x:v>
      </x:c>
      <x:c r="F77" s="12" t="n">
        <x:f aca="0">MAX(0,F75-F76)</x:f>
        <x:v>0</x:v>
      </x:c>
      <x:c r="G77" s="12" t="n">
        <x:f aca="0">MAX(0,G75-G76)</x:f>
        <x:v>0</x:v>
      </x:c>
      <x:c r="H77" s="12" t="n">
        <x:f aca="0">MAX(0,H75-H76)</x:f>
        <x:v>0</x:v>
      </x:c>
      <x:c r="I77" s="12" t="n">
        <x:f aca="0">MAX(0,I75-I76)</x:f>
        <x:v>0</x:v>
      </x:c>
      <x:c r="J77" s="12" t="n">
        <x:f aca="0">MAX(0,J75-J76)</x:f>
        <x:v>0</x:v>
      </x:c>
      <x:c r="K77" s="12" t="n">
        <x:f aca="0">MAX(0,K75-K76)</x:f>
        <x:v>0</x:v>
      </x:c>
      <x:c r="L77" s="12" t="n">
        <x:f aca="0">MAX(0,L75-L76)</x:f>
        <x:v>0</x:v>
      </x:c>
      <x:c r="M77" s="12" t="n">
        <x:f aca="0">MAX(0,M75-M76)</x:f>
        <x:v>275868.73636307666</x:v>
      </x:c>
      <x:c r="N77" s="12" t="n">
        <x:f aca="0">MAX(0,N75-N76)</x:f>
        <x:v>330025.9332218656</x:v>
      </x:c>
      <x:c r="O77" s="12" t="n">
        <x:f aca="0">MAX(0,O75-O76)</x:f>
        <x:v>267512.2882666016</x:v>
      </x:c>
      <x:c r="P77" s="12" t="n">
        <x:f aca="0">MAX(0,P75-P76)</x:f>
        <x:v>426123.8539949722</x:v>
      </x:c>
      <x:c r="Q77" s="12" t="n">
        <x:f aca="0">MAX(0,Q75-Q76)</x:f>
        <x:v>475995.5327931643</x:v>
      </x:c>
      <x:c r="R77" s="12" t="n">
        <x:f aca="0">MAX(0,R75-R76)</x:f>
        <x:v>527264.3293882615</x:v>
      </x:c>
      <x:c r="S77" s="12" t="n">
        <x:f aca="0">MAX(0,S75-S76)</x:f>
        <x:v>580069.6360130724</x:v>
      </x:c>
      <x:c r="T77" s="12" t="n">
        <x:f aca="0">MAX(0,T75-T76)</x:f>
        <x:v>634553.5554331535</x:v>
      </x:c>
      <x:c r="U77" s="12" t="n">
        <x:f aca="0">MAX(0,U75-U76)</x:f>
        <x:v>690861.2516803779</x:v>
      </x:c>
      <x:c r="V77" s="12" t="n">
        <x:f aca="0">MAX(0,V75-V76)</x:f>
        <x:v>749141.3217621751</x:v>
      </x:c>
      <x:c r="W77" s="12" t="n">
        <x:f aca="0">MAX(0,W75-W76)</x:f>
        <x:v>809546.1840114573</x:v>
      </x:c>
      <x:c r="X77" s="12" t="n">
        <x:f aca="0">MAX(0,X75-X76)</x:f>
        <x:v>872232.4804191662</x:v>
      </x:c>
      <x:c r="Y77" s="12" t="n">
        <x:f aca="0">MAX(0,Y75-Y76)</x:f>
        <x:v>937361.4914661983</x:v>
      </x:c>
      <x:c r="Z77" s="12" t="n">
        <x:f aca="0">MAX(0,Z75-Z76)</x:f>
        <x:v>1005099.5627960487</x:v>
      </x:c>
    </x:row>
    <x:row r="78" ht="16.5" hidden="0" customHeight="1">
      <x:c r="A78" s="1" t="s">
        <x:v>361</x:v>
      </x:c>
      <x:c r="B78" s="1" t="s">
        <x:v>78</x:v>
      </x:c>
      <x:c r="C78" s="12" t="n">
        <x:f aca="0">C77*Assumptions!$C$71</x:f>
        <x:v>0</x:v>
      </x:c>
      <x:c r="D78" s="12" t="n">
        <x:f aca="0">D77*Assumptions!$C$71</x:f>
        <x:v>0</x:v>
      </x:c>
      <x:c r="E78" s="12" t="n">
        <x:f aca="0">E77*Assumptions!$C$71</x:f>
        <x:v>0</x:v>
      </x:c>
      <x:c r="F78" s="12" t="n">
        <x:f aca="0">F77*Assumptions!$C$71</x:f>
        <x:v>0</x:v>
      </x:c>
      <x:c r="G78" s="12" t="n">
        <x:f aca="0">G77*Assumptions!$C$71</x:f>
        <x:v>0</x:v>
      </x:c>
      <x:c r="H78" s="12" t="n">
        <x:f aca="0">H77*Assumptions!$C$71</x:f>
        <x:v>0</x:v>
      </x:c>
      <x:c r="I78" s="12" t="n">
        <x:f aca="0">I77*Assumptions!$C$71</x:f>
        <x:v>0</x:v>
      </x:c>
      <x:c r="J78" s="12" t="n">
        <x:f aca="0">J77*Assumptions!$C$71</x:f>
        <x:v>0</x:v>
      </x:c>
      <x:c r="K78" s="12" t="n">
        <x:f aca="0">K77*Assumptions!$C$71</x:f>
        <x:v>0</x:v>
      </x:c>
      <x:c r="L78" s="12" t="n">
        <x:f aca="0">L77*Assumptions!$C$71</x:f>
        <x:v>0</x:v>
      </x:c>
      <x:c r="M78" s="12" t="n">
        <x:f aca="0">M77*Assumptions!$C$71</x:f>
        <x:v>27586.873636307668</x:v>
      </x:c>
      <x:c r="N78" s="12" t="n">
        <x:f aca="0">N77*Assumptions!$C$71</x:f>
        <x:v>33002.59332218656</x:v>
      </x:c>
      <x:c r="O78" s="12" t="n">
        <x:f aca="0">O77*Assumptions!$C$71</x:f>
        <x:v>26751.228826660164</x:v>
      </x:c>
      <x:c r="P78" s="12" t="n">
        <x:f aca="0">P77*Assumptions!$C$71</x:f>
        <x:v>42612.38539949722</x:v>
      </x:c>
      <x:c r="Q78" s="12" t="n">
        <x:f aca="0">Q77*Assumptions!$C$71</x:f>
        <x:v>47599.55327931643</x:v>
      </x:c>
      <x:c r="R78" s="12" t="n">
        <x:f aca="0">R77*Assumptions!$C$71</x:f>
        <x:v>52726.432938826154</x:v>
      </x:c>
      <x:c r="S78" s="12" t="n">
        <x:f aca="0">S77*Assumptions!$C$71</x:f>
        <x:v>58006.963601307245</x:v>
      </x:c>
      <x:c r="T78" s="12" t="n">
        <x:f aca="0">T77*Assumptions!$C$71</x:f>
        <x:v>63455.35554331535</x:v>
      </x:c>
      <x:c r="U78" s="12" t="n">
        <x:f aca="0">U77*Assumptions!$C$71</x:f>
        <x:v>69086.12516803779</x:v>
      </x:c>
      <x:c r="V78" s="12" t="n">
        <x:f aca="0">V77*Assumptions!$C$71</x:f>
        <x:v>74914.1321762175</x:v>
      </x:c>
      <x:c r="W78" s="12" t="n">
        <x:f aca="0">W77*Assumptions!$C$71</x:f>
        <x:v>80954.61840114574</x:v>
      </x:c>
      <x:c r="X78" s="12" t="n">
        <x:f aca="0">X77*Assumptions!$C$71</x:f>
        <x:v>87223.24804191662</x:v>
      </x:c>
      <x:c r="Y78" s="12" t="n">
        <x:f aca="0">Y77*Assumptions!$C$71</x:f>
        <x:v>93736.14914661983</x:v>
      </x:c>
      <x:c r="Z78" s="12" t="n">
        <x:f aca="0">Z77*Assumptions!$C$71</x:f>
        <x:v>100509.95627960487</x:v>
      </x:c>
    </x:row>
    <x:row r="79" ht="16.5" hidden="0" customHeight="1">
      <x:c r="A79" s="1" t="s">
        <x:v>362</x:v>
      </x:c>
      <x:c r="B79" s="1" t="s">
        <x:v>78</x:v>
      </x:c>
      <x:c r="C79" s="12" t="n">
        <x:f aca="0">MAX(0,C76-MAX(0,C75))+MAX(0,-C75)</x:f>
        <x:v>566037.14061248</x:v>
      </x:c>
      <x:c r="D79" s="12" t="n">
        <x:f aca="0">MAX(0,D76-MAX(0,D75))+MAX(0,-D75)</x:f>
        <x:v>678667.2492653237</x:v>
      </x:c>
      <x:c r="E79" s="12" t="n">
        <x:f aca="0">MAX(0,E76-MAX(0,E75))+MAX(0,-E75)</x:f>
        <x:v>746786.0669851449</x:v>
      </x:c>
      <x:c r="F79" s="12" t="n">
        <x:f aca="0">MAX(0,F76-MAX(0,F75))+MAX(0,-F75)</x:f>
        <x:v>771718.5628109437</x:v>
      </x:c>
      <x:c r="G79" s="12" t="n">
        <x:f aca="0">MAX(0,G76-MAX(0,G75))+MAX(0,-G75)</x:f>
        <x:v>753540.8809701907</x:v>
      </x:c>
      <x:c r="H79" s="12" t="n">
        <x:f aca="0">MAX(0,H76-MAX(0,H75))+MAX(0,-H75)</x:f>
        <x:v>692131.5212646684</x:v>
      </x:c>
      <x:c r="I79" s="12" t="n">
        <x:f aca="0">MAX(0,I76-MAX(0,I75))+MAX(0,-I75)</x:f>
        <x:v>587255.2999320586</x:v>
      </x:c>
      <x:c r="J79" s="12" t="n">
        <x:f aca="0">MAX(0,J76-MAX(0,J75))+MAX(0,-J75)</x:f>
        <x:v>438557.7820147088</x:v>
      </x:c>
      <x:c r="K79" s="12" t="n">
        <x:f aca="0">MAX(0,K76-MAX(0,K75))+MAX(0,-K75)</x:f>
        <x:v>245561.4590079792</x:v>
      </x:c>
      <x:c r="L79" s="12" t="n">
        <x:f aca="0">MAX(0,L76-MAX(0,L75))+MAX(0,-L75)</x:f>
        <x:v>7663.020201792184</x:v>
      </x:c>
      <x:c r="M79" s="12" t="n">
        <x:f aca="0">MAX(0,M76-MAX(0,M75))+MAX(0,-M75)</x:f>
        <x:v>0</x:v>
      </x:c>
      <x:c r="N79" s="12" t="n">
        <x:f aca="0">MAX(0,N76-MAX(0,N75))+MAX(0,-N75)</x:f>
        <x:v>0</x:v>
      </x:c>
      <x:c r="O79" s="12" t="n">
        <x:f aca="0">MAX(0,O76-MAX(0,O75))+MAX(0,-O75)</x:f>
        <x:v>0</x:v>
      </x:c>
      <x:c r="P79" s="12" t="n">
        <x:f aca="0">MAX(0,P76-MAX(0,P75))+MAX(0,-P75)</x:f>
        <x:v>0</x:v>
      </x:c>
      <x:c r="Q79" s="12" t="n">
        <x:f aca="0">MAX(0,Q76-MAX(0,Q75))+MAX(0,-Q75)</x:f>
        <x:v>0</x:v>
      </x:c>
      <x:c r="R79" s="12" t="n">
        <x:f aca="0">MAX(0,R76-MAX(0,R75))+MAX(0,-R75)</x:f>
        <x:v>0</x:v>
      </x:c>
      <x:c r="S79" s="12" t="n">
        <x:f aca="0">MAX(0,S76-MAX(0,S75))+MAX(0,-S75)</x:f>
        <x:v>0</x:v>
      </x:c>
      <x:c r="T79" s="12" t="n">
        <x:f aca="0">MAX(0,T76-MAX(0,T75))+MAX(0,-T75)</x:f>
        <x:v>0</x:v>
      </x:c>
      <x:c r="U79" s="12" t="n">
        <x:f aca="0">MAX(0,U76-MAX(0,U75))+MAX(0,-U75)</x:f>
        <x:v>0</x:v>
      </x:c>
      <x:c r="V79" s="12" t="n">
        <x:f aca="0">MAX(0,V76-MAX(0,V75))+MAX(0,-V75)</x:f>
        <x:v>0</x:v>
      </x:c>
      <x:c r="W79" s="12" t="n">
        <x:f aca="0">MAX(0,W76-MAX(0,W75))+MAX(0,-W75)</x:f>
        <x:v>0</x:v>
      </x:c>
      <x:c r="X79" s="12" t="n">
        <x:f aca="0">MAX(0,X76-MAX(0,X75))+MAX(0,-X75)</x:f>
        <x:v>0</x:v>
      </x:c>
      <x:c r="Y79" s="12" t="n">
        <x:f aca="0">MAX(0,Y76-MAX(0,Y75))+MAX(0,-Y75)</x:f>
        <x:v>0</x:v>
      </x:c>
      <x:c r="Z79" s="12" t="n">
        <x:f aca="0">MAX(0,Z76-MAX(0,Z75))+MAX(0,-Z75)</x:f>
        <x:v>0</x:v>
      </x:c>
    </x:row>
    <x:row r="80" ht="16.5" hidden="0" customHeight="1">
      <x:c r="A80" s="10" t="s">
        <x:v>363</x:v>
      </x:c>
      <x:c r="B80" s="10" t="s">
        <x:v>78</x:v>
      </x:c>
      <x:c r="C80" s="34" t="n">
        <x:f aca="0">C75-C78</x:f>
        <x:v>-566037.14061248</x:v>
      </x:c>
      <x:c r="D80" s="34" t="n">
        <x:f aca="0">D75-D78</x:f>
        <x:v>-112630.10865284374</x:v>
      </x:c>
      <x:c r="E80" s="34" t="n">
        <x:f aca="0">E75-E78</x:f>
        <x:v>-68118.81771982112</x:v>
      </x:c>
      <x:c r="F80" s="34" t="n">
        <x:f aca="0">F75-F78</x:f>
        <x:v>-24932.495825798775</x:v>
      </x:c>
      <x:c r="G80" s="34" t="n">
        <x:f aca="0">G75-G78</x:f>
        <x:v>18177.68184075292</x:v>
      </x:c>
      <x:c r="H80" s="34" t="n">
        <x:f aca="0">H75-H78</x:f>
        <x:v>61409.359705522336</x:v>
      </x:c>
      <x:c r="I80" s="34" t="n">
        <x:f aca="0">I75-I78</x:f>
        <x:v>104876.22133260989</x:v>
      </x:c>
      <x:c r="J80" s="34" t="n">
        <x:f aca="0">J75-J78</x:f>
        <x:v>148697.51791734976</x:v>
      </x:c>
      <x:c r="K80" s="34" t="n">
        <x:f aca="0">K75-K78</x:f>
        <x:v>192996.3230067296</x:v>
      </x:c>
      <x:c r="L80" s="34" t="n">
        <x:f aca="0">L75-L78</x:f>
        <x:v>237898.438806187</x:v>
      </x:c>
      <x:c r="M80" s="34" t="n">
        <x:f aca="0">M75-M78</x:f>
        <x:v>255944.8829285612</x:v>
      </x:c>
      <x:c r="N80" s="34" t="n">
        <x:f aca="0">N75-N78</x:f>
        <x:v>297023.33989967906</x:v>
      </x:c>
      <x:c r="O80" s="34" t="n">
        <x:f aca="0">O75-O78</x:f>
        <x:v>240761.05943994145</x:v>
      </x:c>
      <x:c r="P80" s="34" t="n">
        <x:f aca="0">P75-P78</x:f>
        <x:v>383511.46859547496</x:v>
      </x:c>
      <x:c r="Q80" s="34" t="n">
        <x:f aca="0">Q75-Q78</x:f>
        <x:v>428395.97951384785</x:v>
      </x:c>
      <x:c r="R80" s="34" t="n">
        <x:f aca="0">R75-R78</x:f>
        <x:v>474537.8964494354</x:v>
      </x:c>
      <x:c r="S80" s="34" t="n">
        <x:f aca="0">S75-S78</x:f>
        <x:v>522062.6724117652</x:v>
      </x:c>
      <x:c r="T80" s="34" t="n">
        <x:f aca="0">T75-T78</x:f>
        <x:v>571098.1998898382</x:v>
      </x:c>
      <x:c r="U80" s="34" t="n">
        <x:f aca="0">U75-U78</x:f>
        <x:v>621775.12651234</x:v>
      </x:c>
      <x:c r="V80" s="34" t="n">
        <x:f aca="0">V75-V78</x:f>
        <x:v>674227.1895859576</x:v>
      </x:c>
      <x:c r="W80" s="34" t="n">
        <x:f aca="0">W75-W78</x:f>
        <x:v>728591.5656103115</x:v>
      </x:c>
      <x:c r="X80" s="34" t="n">
        <x:f aca="0">X75-X78</x:f>
        <x:v>785009.2323772495</x:v>
      </x:c>
      <x:c r="Y80" s="34" t="n">
        <x:f aca="0">Y75-Y78</x:f>
        <x:v>843625.3423195785</x:v>
      </x:c>
      <x:c r="Z80" s="34" t="n">
        <x:f aca="0">Z75-Z78</x:f>
        <x:v>904589.6065164439</x:v>
      </x:c>
    </x:row>
    <x:row r="81" ht="16.5" hidden="0" customHeight="1">
      <x:c r="A81" s="10" t="s">
        <x:v>11</x:v>
      </x:c>
      <x:c r="B81" s="10" t="s">
        <x:v>78</x:v>
      </x:c>
      <x:c r="C81" s="34" t="n">
        <x:f aca="0">C80</x:f>
        <x:v>-566037.14061248</x:v>
      </x:c>
      <x:c r="D81" s="34" t="n">
        <x:f aca="0">C81+D80</x:f>
        <x:v>-678667.2492653237</x:v>
      </x:c>
      <x:c r="E81" s="34" t="n">
        <x:f aca="0">D81+E80</x:f>
        <x:v>-746786.0669851449</x:v>
      </x:c>
      <x:c r="F81" s="34" t="n">
        <x:f aca="0">E81+F80</x:f>
        <x:v>-771718.5628109437</x:v>
      </x:c>
      <x:c r="G81" s="34" t="n">
        <x:f aca="0">F81+G80</x:f>
        <x:v>-753540.8809701907</x:v>
      </x:c>
      <x:c r="H81" s="34" t="n">
        <x:f aca="0">G81+H80</x:f>
        <x:v>-692131.5212646684</x:v>
      </x:c>
      <x:c r="I81" s="34" t="n">
        <x:f aca="0">H81+I80</x:f>
        <x:v>-587255.2999320586</x:v>
      </x:c>
      <x:c r="J81" s="34" t="n">
        <x:f aca="0">I81+J80</x:f>
        <x:v>-438557.7820147088</x:v>
      </x:c>
      <x:c r="K81" s="34" t="n">
        <x:f aca="0">J81+K80</x:f>
        <x:v>-245561.4590079792</x:v>
      </x:c>
      <x:c r="L81" s="34" t="n">
        <x:f aca="0">K81+L80</x:f>
        <x:v>-7663.020201792184</x:v>
      </x:c>
      <x:c r="M81" s="34" t="n">
        <x:f aca="0">L81+M80</x:f>
        <x:v>248281.862726769</x:v>
      </x:c>
      <x:c r="N81" s="34" t="n">
        <x:f aca="0">M81+N80</x:f>
        <x:v>545305.2026264481</x:v>
      </x:c>
      <x:c r="O81" s="34" t="n">
        <x:f aca="0">N81+O80</x:f>
        <x:v>786066.2620663896</x:v>
      </x:c>
      <x:c r="P81" s="34" t="n">
        <x:f aca="0">O81+P80</x:f>
        <x:v>1169577.7306618644</x:v>
      </x:c>
      <x:c r="Q81" s="34" t="n">
        <x:f aca="0">P81+Q80</x:f>
        <x:v>1597973.7101757121</x:v>
      </x:c>
      <x:c r="R81" s="34" t="n">
        <x:f aca="0">Q81+R80</x:f>
        <x:v>2072511.6066251476</x:v>
      </x:c>
      <x:c r="S81" s="34" t="n">
        <x:f aca="0">R81+S80</x:f>
        <x:v>2594574.279036913</x:v>
      </x:c>
      <x:c r="T81" s="34" t="n">
        <x:f aca="0">S81+T80</x:f>
        <x:v>3165672.4789267513</x:v>
      </x:c>
      <x:c r="U81" s="34" t="n">
        <x:f aca="0">T81+U80</x:f>
        <x:v>3787447.605439091</x:v>
      </x:c>
      <x:c r="V81" s="34" t="n">
        <x:f aca="0">U81+V80</x:f>
        <x:v>4461674.795025049</x:v>
      </x:c>
      <x:c r="W81" s="34" t="n">
        <x:f aca="0">V81+W80</x:f>
        <x:v>5190266.360635361</x:v>
      </x:c>
      <x:c r="X81" s="34" t="n">
        <x:f aca="0">W81+X80</x:f>
        <x:v>5975275.59301261</x:v>
      </x:c>
      <x:c r="Y81" s="34" t="n">
        <x:f aca="0">X81+Y80</x:f>
        <x:v>6818900.935332189</x:v>
      </x:c>
      <x:c r="Z81" s="34" t="n">
        <x:f aca="0">Y81+Z80</x:f>
        <x:v>7723490.541848633</x:v>
      </x:c>
    </x:row>
    <x:row r="82" ht="16.5" hidden="0" customHeight="1">
      <x:c r="A82" s="1" t="s">
        <x:v>364</x:v>
      </x:c>
      <x:c r="B82" s="11" t="s">
        <x:v>108</x:v>
      </x:c>
      <x:c r="C82" s="19" t="n">
        <x:f aca="0">IF(C52=0,0,C80/C52)</x:f>
        <x:v>0</x:v>
      </x:c>
      <x:c r="D82" s="19" t="n">
        <x:f aca="0">IF(D52=0,0,D80/D52)</x:f>
        <x:v>-0.8704499499549941</x:v>
      </x:c>
      <x:c r="E82" s="19" t="n">
        <x:f aca="0">IF(E52=0,0,E80/E52)</x:f>
        <x:v>-0.38307607878146427</x:v>
      </x:c>
      <x:c r="F82" s="19" t="n">
        <x:f aca="0">IF(F52=0,0,F80/F52)</x:f>
        <x:v>-0.11095327428201533</x:v>
      </x:c>
      <x:c r="G82" s="19" t="n">
        <x:f aca="0">IF(G52=0,0,G80/G52)</x:f>
        <x:v>0.0669722370045529</x:v>
      </x:c>
      <x:c r="H82" s="19" t="n">
        <x:f aca="0">IF(H52=0,0,H80/H52)</x:f>
        <x:v>0.19299237640942268</x:v>
      </x:c>
      <x:c r="I82" s="19" t="n">
        <x:f aca="0">IF(I52=0,0,I80/I52)</x:f>
        <x:v>0.2871872538597402</x:v>
      </x:c>
      <x:c r="J82" s="19" t="n">
        <x:f aca="0">IF(J52=0,0,J80/J52)</x:f>
        <x:v>0.3604501460269539</x:v>
      </x:c>
      <x:c r="K82" s="19" t="n">
        <x:f aca="0">IF(K52=0,0,K80/K52)</x:f>
        <x:v>0.4192043145876219</x:v>
      </x:c>
      <x:c r="L82" s="19" t="n">
        <x:f aca="0">IF(L52=0,0,L80/L52)</x:f>
        <x:v>0.46748332031659606</x:v>
      </x:c>
      <x:c r="M82" s="19" t="n">
        <x:f aca="0">IF(M52=0,0,M80/M52)</x:f>
        <x:v>0.45852599138205774</x:v>
      </x:c>
      <x:c r="N82" s="19" t="n">
        <x:f aca="0">IF(N52=0,0,N80/N52)</x:f>
        <x:v>0.48818191116780896</x:v>
      </x:c>
      <x:c r="O82" s="19" t="n">
        <x:f aca="0">IF(O52=0,0,O80/O52)</x:f>
        <x:v>0.3649291028579907</x:v>
      </x:c>
      <x:c r="P82" s="19" t="n">
        <x:f aca="0">IF(P52=0,0,P80/P52)</x:f>
        <x:v>0.5384159532596801</x:v>
      </x:c>
      <x:c r="Q82" s="19" t="n">
        <x:f aca="0">IF(Q52=0,0,Q80/Q52)</x:f>
        <x:v>0.5591032507151605</x:v>
      </x:c>
      <x:c r="R82" s="19" t="n">
        <x:f aca="0">IF(R52=0,0,R80/R52)</x:f>
        <x:v>0.577529886435223</x:v>
      </x:c>
      <x:c r="S82" s="19" t="n">
        <x:f aca="0">IF(S52=0,0,S80/S52)</x:f>
        <x:v>0.5940684830244735</x:v>
      </x:c>
      <x:c r="T82" s="19" t="n">
        <x:f aca="0">IF(T52=0,0,T80/T52)</x:f>
        <x:v>0.6090118530068749</x:v>
      </x:c>
      <x:c r="U82" s="19" t="n">
        <x:f aca="0">IF(U52=0,0,U80/U52)</x:f>
        <x:v>0.6225932381230684</x:v>
      </x:c>
      <x:c r="V82" s="19" t="n">
        <x:f aca="0">IF(V52=0,0,V80/V52)</x:f>
        <x:v>0.6350007065829608</x:v>
      </x:c>
      <x:c r="W82" s="19" t="n">
        <x:f aca="0">IF(W52=0,0,W80/W52)</x:f>
        <x:v>0.6463875846709585</x:v>
      </x:c>
      <x:c r="X82" s="19" t="n">
        <x:f aca="0">IF(X52=0,0,X80/X52)</x:f>
        <x:v>0.6568801401157076</x:v>
      </x:c>
      <x:c r="Y82" s="19" t="n">
        <x:f aca="0">IF(Y52=0,0,Y80/Y52)</x:f>
        <x:v>0.6665833252137602</x:v>
      </x:c>
      <x:c r="Z82" s="19" t="n">
        <x:f aca="0">IF(Z52=0,0,Z80/Z52)</x:f>
        <x:v>0.6755851270221787</x:v>
      </x:c>
    </x:row>
    <x:row r="83" ht="16.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5" t="s">
        <x:v>365</x:v>
      </x:c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16.5" hidden="0" customHeight="1">
      <x:c r="A85" s="1" t="s">
        <x:v>366</x:v>
      </x:c>
      <x:c r="B85" s="1" t="s">
        <x:v>103</x:v>
      </x:c>
      <x:c r="C85" s="35" t="n">
        <x:f aca="0">ROUND(C14-SUM(C7,C9,C11),6)</x:f>
        <x:v>0</x:v>
      </x:c>
      <x:c r="D85" s="35" t="n">
        <x:f aca="0">ROUND(D14-SUM(D7,D9,D11),6)</x:f>
        <x:v>0</x:v>
      </x:c>
      <x:c r="E85" s="35" t="n">
        <x:f aca="0">ROUND(E14-SUM(E7,E9,E11),6)</x:f>
        <x:v>0</x:v>
      </x:c>
      <x:c r="F85" s="35" t="n">
        <x:f aca="0">ROUND(F14-SUM(F7,F9,F11),6)</x:f>
        <x:v>0</x:v>
      </x:c>
      <x:c r="G85" s="35" t="n">
        <x:f aca="0">ROUND(G14-SUM(G7,G9,G11),6)</x:f>
        <x:v>0</x:v>
      </x:c>
      <x:c r="H85" s="35" t="n">
        <x:f aca="0">ROUND(H14-SUM(H7,H9,H11),6)</x:f>
        <x:v>0</x:v>
      </x:c>
      <x:c r="I85" s="35" t="n">
        <x:f aca="0">ROUND(I14-SUM(I7,I9,I11),6)</x:f>
        <x:v>0</x:v>
      </x:c>
      <x:c r="J85" s="35" t="n">
        <x:f aca="0">ROUND(J14-SUM(J7,J9,J11),6)</x:f>
        <x:v>0</x:v>
      </x:c>
      <x:c r="K85" s="35" t="n">
        <x:f aca="0">ROUND(K14-SUM(K7,K9,K11),6)</x:f>
        <x:v>0</x:v>
      </x:c>
      <x:c r="L85" s="35" t="n">
        <x:f aca="0">ROUND(L14-SUM(L7,L9,L11),6)</x:f>
        <x:v>0</x:v>
      </x:c>
      <x:c r="M85" s="35" t="n">
        <x:f aca="0">ROUND(M14-SUM(M7,M9,M11),6)</x:f>
        <x:v>0</x:v>
      </x:c>
      <x:c r="N85" s="35" t="n">
        <x:f aca="0">ROUND(N14-SUM(N7,N9,N11),6)</x:f>
        <x:v>0</x:v>
      </x:c>
      <x:c r="O85" s="35" t="n">
        <x:f aca="0">ROUND(O14-SUM(O7,O9,O11),6)</x:f>
        <x:v>0</x:v>
      </x:c>
      <x:c r="P85" s="35" t="n">
        <x:f aca="0">ROUND(P14-SUM(P7,P9,P11),6)</x:f>
        <x:v>0</x:v>
      </x:c>
      <x:c r="Q85" s="35" t="n">
        <x:f aca="0">ROUND(Q14-SUM(Q7,Q9,Q11),6)</x:f>
        <x:v>0</x:v>
      </x:c>
      <x:c r="R85" s="35" t="n">
        <x:f aca="0">ROUND(R14-SUM(R7,R9,R11),6)</x:f>
        <x:v>0</x:v>
      </x:c>
      <x:c r="S85" s="35" t="n">
        <x:f aca="0">ROUND(S14-SUM(S7,S9,S11),6)</x:f>
        <x:v>0</x:v>
      </x:c>
      <x:c r="T85" s="35" t="n">
        <x:f aca="0">ROUND(T14-SUM(T7,T9,T11),6)</x:f>
        <x:v>0</x:v>
      </x:c>
      <x:c r="U85" s="35" t="n">
        <x:f aca="0">ROUND(U14-SUM(U7,U9,U11),6)</x:f>
        <x:v>0</x:v>
      </x:c>
      <x:c r="V85" s="35" t="n">
        <x:f aca="0">ROUND(V14-SUM(V7,V9,V11),6)</x:f>
        <x:v>0</x:v>
      </x:c>
      <x:c r="W85" s="35" t="n">
        <x:f aca="0">ROUND(W14-SUM(W7,W9,W11),6)</x:f>
        <x:v>0</x:v>
      </x:c>
      <x:c r="X85" s="35" t="n">
        <x:f aca="0">ROUND(X14-SUM(X7,X9,X11),6)</x:f>
        <x:v>0</x:v>
      </x:c>
      <x:c r="Y85" s="35" t="n">
        <x:f aca="0">ROUND(Y14-SUM(Y7,Y9,Y11),6)</x:f>
        <x:v>0</x:v>
      </x:c>
      <x:c r="Z85" s="35" t="n">
        <x:f aca="0">ROUND(Z14-SUM(Z7,Z9,Z11),6)</x:f>
        <x:v>0</x:v>
      </x:c>
    </x:row>
    <x:row r="86" ht="16.5" hidden="0" customHeight="1">
      <x:c r="A86" s="1" t="s">
        <x:v>367</x:v>
      </x:c>
      <x:c r="B86" s="1" t="s">
        <x:v>103</x:v>
      </x:c>
      <x:c r="C86" s="35" t="n">
        <x:f aca="0">ROUND(C34-(SUM(C22:C24)-SUM(C25:C27)+C21),6)</x:f>
        <x:v>0</x:v>
      </x:c>
      <x:c r="D86" s="35" t="n">
        <x:f aca="0">ROUND(D34-(SUM(D22:D24)-SUM(D25:D27)+D21),6)</x:f>
        <x:v>0</x:v>
      </x:c>
      <x:c r="E86" s="35" t="n">
        <x:f aca="0">ROUND(E34-(SUM(E22:E24)-SUM(E25:E27)+E21),6)</x:f>
        <x:v>0</x:v>
      </x:c>
      <x:c r="F86" s="35" t="n">
        <x:f aca="0">ROUND(F34-(SUM(F22:F24)-SUM(F25:F27)+F21),6)</x:f>
        <x:v>0</x:v>
      </x:c>
      <x:c r="G86" s="35" t="n">
        <x:f aca="0">ROUND(G34-(SUM(G22:G24)-SUM(G25:G27)+G21),6)</x:f>
        <x:v>0</x:v>
      </x:c>
      <x:c r="H86" s="35" t="n">
        <x:f aca="0">ROUND(H34-(SUM(H22:H24)-SUM(H25:H27)+H21),6)</x:f>
        <x:v>0</x:v>
      </x:c>
      <x:c r="I86" s="35" t="n">
        <x:f aca="0">ROUND(I34-(SUM(I22:I24)-SUM(I25:I27)+I21),6)</x:f>
        <x:v>0</x:v>
      </x:c>
      <x:c r="J86" s="35" t="n">
        <x:f aca="0">ROUND(J34-(SUM(J22:J24)-SUM(J25:J27)+J21),6)</x:f>
        <x:v>0</x:v>
      </x:c>
      <x:c r="K86" s="35" t="n">
        <x:f aca="0">ROUND(K34-(SUM(K22:K24)-SUM(K25:K27)+K21),6)</x:f>
        <x:v>0</x:v>
      </x:c>
      <x:c r="L86" s="35" t="n">
        <x:f aca="0">ROUND(L34-(SUM(L22:L24)-SUM(L25:L27)+L21),6)</x:f>
        <x:v>0</x:v>
      </x:c>
      <x:c r="M86" s="35" t="n">
        <x:f aca="0">ROUND(M34-(SUM(M22:M24)-SUM(M25:M27)+M21),6)</x:f>
        <x:v>0</x:v>
      </x:c>
      <x:c r="N86" s="35" t="n">
        <x:f aca="0">ROUND(N34-(SUM(N22:N24)-SUM(N25:N27)+N21),6)</x:f>
        <x:v>0</x:v>
      </x:c>
      <x:c r="O86" s="35" t="n">
        <x:f aca="0">ROUND(O34-(SUM(O22:O24)-SUM(O25:O27)+O21),6)</x:f>
        <x:v>0</x:v>
      </x:c>
      <x:c r="P86" s="35" t="n">
        <x:f aca="0">ROUND(P34-(SUM(P22:P24)-SUM(P25:P27)+P21),6)</x:f>
        <x:v>0</x:v>
      </x:c>
      <x:c r="Q86" s="35" t="n">
        <x:f aca="0">ROUND(Q34-(SUM(Q22:Q24)-SUM(Q25:Q27)+Q21),6)</x:f>
        <x:v>0</x:v>
      </x:c>
      <x:c r="R86" s="35" t="n">
        <x:f aca="0">ROUND(R34-(SUM(R22:R24)-SUM(R25:R27)+R21),6)</x:f>
        <x:v>0</x:v>
      </x:c>
      <x:c r="S86" s="35" t="n">
        <x:f aca="0">ROUND(S34-(SUM(S22:S24)-SUM(S25:S27)+S21),6)</x:f>
        <x:v>0</x:v>
      </x:c>
      <x:c r="T86" s="35" t="n">
        <x:f aca="0">ROUND(T34-(SUM(T22:T24)-SUM(T25:T27)+T21),6)</x:f>
        <x:v>0</x:v>
      </x:c>
      <x:c r="U86" s="35" t="n">
        <x:f aca="0">ROUND(U34-(SUM(U22:U24)-SUM(U25:U27)+U21),6)</x:f>
        <x:v>0</x:v>
      </x:c>
      <x:c r="V86" s="35" t="n">
        <x:f aca="0">ROUND(V34-(SUM(V22:V24)-SUM(V25:V27)+V21),6)</x:f>
        <x:v>0</x:v>
      </x:c>
      <x:c r="W86" s="35" t="n">
        <x:f aca="0">ROUND(W34-(SUM(W22:W24)-SUM(W25:W27)+W21),6)</x:f>
        <x:v>0</x:v>
      </x:c>
      <x:c r="X86" s="35" t="n">
        <x:f aca="0">ROUND(X34-(SUM(X22:X24)-SUM(X25:X27)+X21),6)</x:f>
        <x:v>0</x:v>
      </x:c>
      <x:c r="Y86" s="35" t="n">
        <x:f aca="0">ROUND(Y34-(SUM(Y22:Y24)-SUM(Y25:Y27)+Y21),6)</x:f>
        <x:v>0</x:v>
      </x:c>
      <x:c r="Z86" s="35" t="n">
        <x:f aca="0">ROUND(Z34-(SUM(Z22:Z24)-SUM(Z25:Z27)+Z21),6)</x:f>
        <x:v>0</x:v>
      </x:c>
    </x:row>
    <x:row r="87" ht="16.5" hidden="0" customHeight="1">
      <x:c r="A87" s="1" t="s">
        <x:v>368</x:v>
      </x:c>
      <x:c r="B87" s="1" t="s">
        <x:v>103</x:v>
      </x:c>
      <x:c r="C87" s="35" t="n">
        <x:f aca="0">MAX(0,-MIN(C31,C32,C33,C40,C50))</x:f>
        <x:v>0</x:v>
      </x:c>
      <x:c r="D87" s="35" t="n">
        <x:f aca="0">MAX(0,-MIN(D31,D32,D33,D40,D50))</x:f>
        <x:v>0</x:v>
      </x:c>
      <x:c r="E87" s="35" t="n">
        <x:f aca="0">MAX(0,-MIN(E31,E32,E33,E40,E50))</x:f>
        <x:v>0</x:v>
      </x:c>
      <x:c r="F87" s="35" t="n">
        <x:f aca="0">MAX(0,-MIN(F31,F32,F33,F40,F50))</x:f>
        <x:v>0</x:v>
      </x:c>
      <x:c r="G87" s="35" t="n">
        <x:f aca="0">MAX(0,-MIN(G31,G32,G33,G40,G50))</x:f>
        <x:v>0</x:v>
      </x:c>
      <x:c r="H87" s="35" t="n">
        <x:f aca="0">MAX(0,-MIN(H31,H32,H33,H40,H50))</x:f>
        <x:v>0</x:v>
      </x:c>
      <x:c r="I87" s="35" t="n">
        <x:f aca="0">MAX(0,-MIN(I31,I32,I33,I40,I50))</x:f>
        <x:v>0</x:v>
      </x:c>
      <x:c r="J87" s="35" t="n">
        <x:f aca="0">MAX(0,-MIN(J31,J32,J33,J40,J50))</x:f>
        <x:v>0</x:v>
      </x:c>
      <x:c r="K87" s="35" t="n">
        <x:f aca="0">MAX(0,-MIN(K31,K32,K33,K40,K50))</x:f>
        <x:v>0</x:v>
      </x:c>
      <x:c r="L87" s="35" t="n">
        <x:f aca="0">MAX(0,-MIN(L31,L32,L33,L40,L50))</x:f>
        <x:v>0</x:v>
      </x:c>
      <x:c r="M87" s="35" t="n">
        <x:f aca="0">MAX(0,-MIN(M31,M32,M33,M40,M50))</x:f>
        <x:v>0</x:v>
      </x:c>
      <x:c r="N87" s="35" t="n">
        <x:f aca="0">MAX(0,-MIN(N31,N32,N33,N40,N50))</x:f>
        <x:v>0</x:v>
      </x:c>
      <x:c r="O87" s="35" t="n">
        <x:f aca="0">MAX(0,-MIN(O31,O32,O33,O40,O50))</x:f>
        <x:v>0</x:v>
      </x:c>
      <x:c r="P87" s="35" t="n">
        <x:f aca="0">MAX(0,-MIN(P31,P32,P33,P40,P50))</x:f>
        <x:v>0</x:v>
      </x:c>
      <x:c r="Q87" s="35" t="n">
        <x:f aca="0">MAX(0,-MIN(Q31,Q32,Q33,Q40,Q50))</x:f>
        <x:v>0</x:v>
      </x:c>
      <x:c r="R87" s="35" t="n">
        <x:f aca="0">MAX(0,-MIN(R31,R32,R33,R40,R50))</x:f>
        <x:v>0</x:v>
      </x:c>
      <x:c r="S87" s="35" t="n">
        <x:f aca="0">MAX(0,-MIN(S31,S32,S33,S40,S50))</x:f>
        <x:v>0</x:v>
      </x:c>
      <x:c r="T87" s="35" t="n">
        <x:f aca="0">MAX(0,-MIN(T31,T32,T33,T40,T50))</x:f>
        <x:v>0</x:v>
      </x:c>
      <x:c r="U87" s="35" t="n">
        <x:f aca="0">MAX(0,-MIN(U31,U32,U33,U40,U50))</x:f>
        <x:v>0</x:v>
      </x:c>
      <x:c r="V87" s="35" t="n">
        <x:f aca="0">MAX(0,-MIN(V31,V32,V33,V40,V50))</x:f>
        <x:v>0</x:v>
      </x:c>
      <x:c r="W87" s="35" t="n">
        <x:f aca="0">MAX(0,-MIN(W31,W32,W33,W40,W50))</x:f>
        <x:v>0</x:v>
      </x:c>
      <x:c r="X87" s="35" t="n">
        <x:f aca="0">MAX(0,-MIN(X31,X32,X33,X40,X50))</x:f>
        <x:v>0</x:v>
      </x:c>
      <x:c r="Y87" s="35" t="n">
        <x:f aca="0">MAX(0,-MIN(Y31,Y32,Y33,Y40,Y50))</x:f>
        <x:v>0</x:v>
      </x:c>
      <x:c r="Z87" s="35" t="n">
        <x:f aca="0">MAX(0,-MIN(Z31,Z32,Z33,Z40,Z50))</x:f>
        <x:v>0</x:v>
      </x:c>
    </x:row>
    <x:row r="88" ht="16.5" hidden="0" customHeight="1">
      <x:c r="A88" s="1" t="s">
        <x:v>369</x:v>
      </x:c>
      <x:c r="B88" s="1" t="s">
        <x:v>103</x:v>
      </x:c>
      <x:c r="C88" s="35" t="n">
        <x:f aca="0">MAX(0,C44-C34)</x:f>
        <x:v>0</x:v>
      </x:c>
      <x:c r="D88" s="35" t="n">
        <x:f aca="0">MAX(0,D44-D34)</x:f>
        <x:v>0</x:v>
      </x:c>
      <x:c r="E88" s="35" t="n">
        <x:f aca="0">MAX(0,E44-E34)</x:f>
        <x:v>0</x:v>
      </x:c>
      <x:c r="F88" s="35" t="n">
        <x:f aca="0">MAX(0,F44-F34)</x:f>
        <x:v>0</x:v>
      </x:c>
      <x:c r="G88" s="35" t="n">
        <x:f aca="0">MAX(0,G44-G34)</x:f>
        <x:v>0</x:v>
      </x:c>
      <x:c r="H88" s="35" t="n">
        <x:f aca="0">MAX(0,H44-H34)</x:f>
        <x:v>0</x:v>
      </x:c>
      <x:c r="I88" s="35" t="n">
        <x:f aca="0">MAX(0,I44-I34)</x:f>
        <x:v>0</x:v>
      </x:c>
      <x:c r="J88" s="35" t="n">
        <x:f aca="0">MAX(0,J44-J34)</x:f>
        <x:v>0</x:v>
      </x:c>
      <x:c r="K88" s="35" t="n">
        <x:f aca="0">MAX(0,K44-K34)</x:f>
        <x:v>0</x:v>
      </x:c>
      <x:c r="L88" s="35" t="n">
        <x:f aca="0">MAX(0,L44-L34)</x:f>
        <x:v>0</x:v>
      </x:c>
      <x:c r="M88" s="35" t="n">
        <x:f aca="0">MAX(0,M44-M34)</x:f>
        <x:v>0</x:v>
      </x:c>
      <x:c r="N88" s="35" t="n">
        <x:f aca="0">MAX(0,N44-N34)</x:f>
        <x:v>0</x:v>
      </x:c>
      <x:c r="O88" s="35" t="n">
        <x:f aca="0">MAX(0,O44-O34)</x:f>
        <x:v>0</x:v>
      </x:c>
      <x:c r="P88" s="35" t="n">
        <x:f aca="0">MAX(0,P44-P34)</x:f>
        <x:v>0</x:v>
      </x:c>
      <x:c r="Q88" s="35" t="n">
        <x:f aca="0">MAX(0,Q44-Q34)</x:f>
        <x:v>0</x:v>
      </x:c>
      <x:c r="R88" s="35" t="n">
        <x:f aca="0">MAX(0,R44-R34)</x:f>
        <x:v>0</x:v>
      </x:c>
      <x:c r="S88" s="35" t="n">
        <x:f aca="0">MAX(0,S44-S34)</x:f>
        <x:v>0</x:v>
      </x:c>
      <x:c r="T88" s="35" t="n">
        <x:f aca="0">MAX(0,T44-T34)</x:f>
        <x:v>0</x:v>
      </x:c>
      <x:c r="U88" s="35" t="n">
        <x:f aca="0">MAX(0,U44-U34)</x:f>
        <x:v>0</x:v>
      </x:c>
      <x:c r="V88" s="35" t="n">
        <x:f aca="0">MAX(0,V44-V34)</x:f>
        <x:v>0</x:v>
      </x:c>
      <x:c r="W88" s="35" t="n">
        <x:f aca="0">MAX(0,W44-W34)</x:f>
        <x:v>0</x:v>
      </x:c>
      <x:c r="X88" s="35" t="n">
        <x:f aca="0">MAX(0,X44-X34)</x:f>
        <x:v>0</x:v>
      </x:c>
      <x:c r="Y88" s="35" t="n">
        <x:f aca="0">MAX(0,Y44-Y34)</x:f>
        <x:v>0</x:v>
      </x:c>
      <x:c r="Z88" s="35" t="n">
        <x:f aca="0">MAX(0,Z44-Z34)</x:f>
        <x:v>0</x:v>
      </x:c>
    </x:row>
    <x:row r="89" ht="16.5" hidden="0" customHeight="1">
      <x:c r="A89" s="1" t="s">
        <x:v>370</x:v>
      </x:c>
      <x:c r="B89" s="1" t="s">
        <x:v>103</x:v>
      </x:c>
      <x:c r="C89" s="35" t="n">
        <x:f aca="0">ROUND(C52+C51-C50,6)</x:f>
        <x:v>0</x:v>
      </x:c>
      <x:c r="D89" s="35" t="n">
        <x:f aca="0">ROUND(D52+D51-D50,6)</x:f>
        <x:v>0</x:v>
      </x:c>
      <x:c r="E89" s="35" t="n">
        <x:f aca="0">ROUND(E52+E51-E50,6)</x:f>
        <x:v>0</x:v>
      </x:c>
      <x:c r="F89" s="35" t="n">
        <x:f aca="0">ROUND(F52+F51-F50,6)</x:f>
        <x:v>0</x:v>
      </x:c>
      <x:c r="G89" s="35" t="n">
        <x:f aca="0">ROUND(G52+G51-G50,6)</x:f>
        <x:v>0</x:v>
      </x:c>
      <x:c r="H89" s="35" t="n">
        <x:f aca="0">ROUND(H52+H51-H50,6)</x:f>
        <x:v>0</x:v>
      </x:c>
      <x:c r="I89" s="35" t="n">
        <x:f aca="0">ROUND(I52+I51-I50,6)</x:f>
        <x:v>0</x:v>
      </x:c>
      <x:c r="J89" s="35" t="n">
        <x:f aca="0">ROUND(J52+J51-J50,6)</x:f>
        <x:v>0</x:v>
      </x:c>
      <x:c r="K89" s="35" t="n">
        <x:f aca="0">ROUND(K52+K51-K50,6)</x:f>
        <x:v>0</x:v>
      </x:c>
      <x:c r="L89" s="35" t="n">
        <x:f aca="0">ROUND(L52+L51-L50,6)</x:f>
        <x:v>0</x:v>
      </x:c>
      <x:c r="M89" s="35" t="n">
        <x:f aca="0">ROUND(M52+M51-M50,6)</x:f>
        <x:v>0</x:v>
      </x:c>
      <x:c r="N89" s="35" t="n">
        <x:f aca="0">ROUND(N52+N51-N50,6)</x:f>
        <x:v>0</x:v>
      </x:c>
      <x:c r="O89" s="35" t="n">
        <x:f aca="0">ROUND(O52+O51-O50,6)</x:f>
        <x:v>0</x:v>
      </x:c>
      <x:c r="P89" s="35" t="n">
        <x:f aca="0">ROUND(P52+P51-P50,6)</x:f>
        <x:v>0</x:v>
      </x:c>
      <x:c r="Q89" s="35" t="n">
        <x:f aca="0">ROUND(Q52+Q51-Q50,6)</x:f>
        <x:v>0</x:v>
      </x:c>
      <x:c r="R89" s="35" t="n">
        <x:f aca="0">ROUND(R52+R51-R50,6)</x:f>
        <x:v>0</x:v>
      </x:c>
      <x:c r="S89" s="35" t="n">
        <x:f aca="0">ROUND(S52+S51-S50,6)</x:f>
        <x:v>0</x:v>
      </x:c>
      <x:c r="T89" s="35" t="n">
        <x:f aca="0">ROUND(T52+T51-T50,6)</x:f>
        <x:v>0</x:v>
      </x:c>
      <x:c r="U89" s="35" t="n">
        <x:f aca="0">ROUND(U52+U51-U50,6)</x:f>
        <x:v>0</x:v>
      </x:c>
      <x:c r="V89" s="35" t="n">
        <x:f aca="0">ROUND(V52+V51-V50,6)</x:f>
        <x:v>0</x:v>
      </x:c>
      <x:c r="W89" s="35" t="n">
        <x:f aca="0">ROUND(W52+W51-W50,6)</x:f>
        <x:v>0</x:v>
      </x:c>
      <x:c r="X89" s="35" t="n">
        <x:f aca="0">ROUND(X52+X51-X50,6)</x:f>
        <x:v>0</x:v>
      </x:c>
      <x:c r="Y89" s="35" t="n">
        <x:f aca="0">ROUND(Y52+Y51-Y50,6)</x:f>
        <x:v>0</x:v>
      </x:c>
      <x:c r="Z89" s="35" t="n">
        <x:f aca="0">ROUND(Z52+Z51-Z50,6)</x:f>
        <x:v>0</x:v>
      </x:c>
    </x:row>
    <x:row r="90" ht="16.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23" t="s">
        <x:v>371</x:v>
      </x:c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 ht="16.5" hidden="0" customHeight="1">
      <x:c r="A92" s="11" t="s">
        <x:v>372</x:v>
      </x:c>
      <x:c r="B92" s="1" t="s">
        <x:v>103</x:v>
      </x:c>
      <x:c r="C92" s="40" t="n">
        <x:f aca="0">IF(Assumptions!$C$76=0,0,C14/Assumptions!$C$76)</x:f>
        <x:v>725.1999999999999</x:v>
      </x:c>
      <x:c r="D92" s="40" t="n">
        <x:f aca="0">IF(Assumptions!$C$76=0,0,D14/Assumptions!$C$76)</x:f>
        <x:v>422.1168</x:v>
      </x:c>
      <x:c r="E92" s="40" t="n">
        <x:f aca="0">IF(Assumptions!$C$76=0,0,E14/Assumptions!$C$76)</x:f>
        <x:v>441</x:v>
      </x:c>
      <x:c r="F92" s="40" t="n">
        <x:f aca="0">IF(Assumptions!$C$76=0,0,F14/Assumptions!$C$76)</x:f>
        <x:v>463.05000000000007</x:v>
      </x:c>
      <x:c r="G92" s="40" t="n">
        <x:f aca="0">IF(Assumptions!$C$76=0,0,G14/Assumptions!$C$76)</x:f>
        <x:v>486.2025000000001</x:v>
      </x:c>
      <x:c r="H92" s="40" t="n">
        <x:f aca="0">IF(Assumptions!$C$76=0,0,H14/Assumptions!$C$76)</x:f>
        <x:v>510.5126250000001</x:v>
      </x:c>
      <x:c r="I92" s="40" t="n">
        <x:f aca="0">IF(Assumptions!$C$76=0,0,I14/Assumptions!$C$76)</x:f>
        <x:v>536.0382562500001</x:v>
      </x:c>
      <x:c r="J92" s="40" t="n">
        <x:f aca="0">IF(Assumptions!$C$76=0,0,J14/Assumptions!$C$76)</x:f>
        <x:v>562.8401690625001</x:v>
      </x:c>
      <x:c r="K92" s="40" t="n">
        <x:f aca="0">IF(Assumptions!$C$76=0,0,K14/Assumptions!$C$76)</x:f>
        <x:v>590.9821775156252</x:v>
      </x:c>
      <x:c r="L92" s="40" t="n">
        <x:f aca="0">IF(Assumptions!$C$76=0,0,L14/Assumptions!$C$76)</x:f>
        <x:v>620.5312863914065</x:v>
      </x:c>
      <x:c r="M92" s="40" t="n">
        <x:f aca="0">IF(Assumptions!$C$76=0,0,M14/Assumptions!$C$76)</x:f>
        <x:v>651.5578507109768</x:v>
      </x:c>
      <x:c r="N92" s="40" t="n">
        <x:f aca="0">IF(Assumptions!$C$76=0,0,N14/Assumptions!$C$76)</x:f>
        <x:v>684.1357432465256</x:v>
      </x:c>
      <x:c r="O92" s="40" t="n">
        <x:f aca="0">IF(Assumptions!$C$76=0,0,O14/Assumptions!$C$76)</x:f>
        <x:v>718.342530408852</x:v>
      </x:c>
      <x:c r="P92" s="40" t="n">
        <x:f aca="0">IF(Assumptions!$C$76=0,0,P14/Assumptions!$C$76)</x:f>
        <x:v>754.2596569292946</x:v>
      </x:c>
      <x:c r="Q92" s="40" t="n">
        <x:f aca="0">IF(Assumptions!$C$76=0,0,Q14/Assumptions!$C$76)</x:f>
        <x:v>791.9726397757594</x:v>
      </x:c>
      <x:c r="R92" s="40" t="n">
        <x:f aca="0">IF(Assumptions!$C$76=0,0,R14/Assumptions!$C$76)</x:f>
        <x:v>831.5712717645474</x:v>
      </x:c>
      <x:c r="S92" s="40" t="n">
        <x:f aca="0">IF(Assumptions!$C$76=0,0,S14/Assumptions!$C$76)</x:f>
        <x:v>873.1498353527747</x:v>
      </x:c>
      <x:c r="T92" s="40" t="n">
        <x:f aca="0">IF(Assumptions!$C$76=0,0,T14/Assumptions!$C$76)</x:f>
        <x:v>916.8073271204136</x:v>
      </x:c>
      <x:c r="U92" s="40" t="n">
        <x:f aca="0">IF(Assumptions!$C$76=0,0,U14/Assumptions!$C$76)</x:f>
        <x:v>962.6476934764341</x:v>
      </x:c>
      <x:c r="V92" s="40" t="n">
        <x:f aca="0">IF(Assumptions!$C$76=0,0,V14/Assumptions!$C$76)</x:f>
        <x:v>1010.7800781502561</x:v>
      </x:c>
      <x:c r="W92" s="40" t="n">
        <x:f aca="0">IF(Assumptions!$C$76=0,0,W14/Assumptions!$C$76)</x:f>
        <x:v>1061.3190820577688</x:v>
      </x:c>
      <x:c r="X92" s="40" t="n">
        <x:f aca="0">IF(Assumptions!$C$76=0,0,X14/Assumptions!$C$76)</x:f>
        <x:v>1114.3850361606574</x:v>
      </x:c>
      <x:c r="Y92" s="40" t="n">
        <x:f aca="0">IF(Assumptions!$C$76=0,0,Y14/Assumptions!$C$76)</x:f>
        <x:v>1170.1042879686902</x:v>
      </x:c>
      <x:c r="Z92" s="40" t="n">
        <x:f aca="0">IF(Assumptions!$C$76=0,0,Z14/Assumptions!$C$76)</x:f>
        <x:v>1228.6095023671248</x:v>
      </x:c>
    </x:row>
    <x:row r="93" ht="16.5" hidden="0" customHeight="1">
      <x:c r="A93" s="11" t="s">
        <x:v>373</x:v>
      </x:c>
      <x:c r="B93" s="11" t="s">
        <x:v>252</x:v>
      </x:c>
      <x:c r="C93" s="44" t="n">
        <x:f aca="0">C92*Assumptions!$C$78/1024</x:f>
        <x:v>1.4164062499999999</x:v>
      </x:c>
      <x:c r="D93" s="44" t="n">
        <x:f aca="0">D92*Assumptions!$C$78/1024</x:f>
        <x:v>0.824446875</x:v>
      </x:c>
      <x:c r="E93" s="44" t="n">
        <x:f aca="0">E92*Assumptions!$C$78/1024</x:f>
        <x:v>0.861328125</x:v>
      </x:c>
      <x:c r="F93" s="44" t="n">
        <x:f aca="0">F92*Assumptions!$C$78/1024</x:f>
        <x:v>0.9043945312500001</x:v>
      </x:c>
      <x:c r="G93" s="44" t="n">
        <x:f aca="0">G92*Assumptions!$C$78/1024</x:f>
        <x:v>0.9496142578125002</x:v>
      </x:c>
      <x:c r="H93" s="44" t="n">
        <x:f aca="0">H92*Assumptions!$C$78/1024</x:f>
        <x:v>0.9970949707031252</x:v>
      </x:c>
      <x:c r="I93" s="44" t="n">
        <x:f aca="0">I92*Assumptions!$C$78/1024</x:f>
        <x:v>1.0469497192382815</x:v>
      </x:c>
      <x:c r="J93" s="44" t="n">
        <x:f aca="0">J92*Assumptions!$C$78/1024</x:f>
        <x:v>1.0992972052001955</x:v>
      </x:c>
      <x:c r="K93" s="44" t="n">
        <x:f aca="0">K92*Assumptions!$C$78/1024</x:f>
        <x:v>1.1542620654602054</x:v>
      </x:c>
      <x:c r="L93" s="44" t="n">
        <x:f aca="0">L92*Assumptions!$C$78/1024</x:f>
        <x:v>1.2119751687332159</x:v>
      </x:c>
      <x:c r="M93" s="44" t="n">
        <x:f aca="0">M92*Assumptions!$C$78/1024</x:f>
        <x:v>1.2725739271698766</x:v>
      </x:c>
      <x:c r="N93" s="44" t="n">
        <x:f aca="0">N92*Assumptions!$C$78/1024</x:f>
        <x:v>1.3362026235283704</x:v>
      </x:c>
      <x:c r="O93" s="44" t="n">
        <x:f aca="0">O92*Assumptions!$C$78/1024</x:f>
        <x:v>1.403012754704789</x:v>
      </x:c>
      <x:c r="P93" s="44" t="n">
        <x:f aca="0">P92*Assumptions!$C$78/1024</x:f>
        <x:v>1.4731633924400285</x:v>
      </x:c>
      <x:c r="Q93" s="44" t="n">
        <x:f aca="0">Q92*Assumptions!$C$78/1024</x:f>
        <x:v>1.54682156206203</x:v>
      </x:c>
      <x:c r="R93" s="44" t="n">
        <x:f aca="0">R92*Assumptions!$C$78/1024</x:f>
        <x:v>1.6241626401651317</x:v>
      </x:c>
      <x:c r="S93" s="44" t="n">
        <x:f aca="0">S92*Assumptions!$C$78/1024</x:f>
        <x:v>1.7053707721733882</x:v>
      </x:c>
      <x:c r="T93" s="44" t="n">
        <x:f aca="0">T92*Assumptions!$C$78/1024</x:f>
        <x:v>1.7906393107820577</x:v>
      </x:c>
      <x:c r="U93" s="44" t="n">
        <x:f aca="0">U92*Assumptions!$C$78/1024</x:f>
        <x:v>1.8801712763211604</x:v>
      </x:c>
      <x:c r="V93" s="44" t="n">
        <x:f aca="0">V92*Assumptions!$C$78/1024</x:f>
        <x:v>1.974179840137219</x:v>
      </x:c>
      <x:c r="W93" s="44" t="n">
        <x:f aca="0">W92*Assumptions!$C$78/1024</x:f>
        <x:v>2.0728888321440797</x:v>
      </x:c>
      <x:c r="X93" s="44" t="n">
        <x:f aca="0">X92*Assumptions!$C$78/1024</x:f>
        <x:v>2.176533273751284</x:v>
      </x:c>
      <x:c r="Y93" s="44" t="n">
        <x:f aca="0">Y92*Assumptions!$C$78/1024</x:f>
        <x:v>2.285359937438848</x:v>
      </x:c>
      <x:c r="Z93" s="44" t="n">
        <x:f aca="0">Z92*Assumptions!$C$78/1024</x:f>
        <x:v>2.3996279343107907</x:v>
      </x:c>
    </x:row>
    <x:row r="94" ht="16.5" hidden="0" customHeight="1">
      <x:c r="A94" s="11" t="s">
        <x:v>374</x:v>
      </x:c>
      <x:c r="B94" s="1" t="s">
        <x:v>246</x:v>
      </x:c>
      <x:c r="C94" s="40" t="n">
        <x:f aca="0">C92*Assumptions!$C$77</x:f>
        <x:v>5801.599999999999</x:v>
      </x:c>
      <x:c r="D94" s="40" t="n">
        <x:f aca="0">D92*Assumptions!$C$77</x:f>
        <x:v>3376.9344</x:v>
      </x:c>
      <x:c r="E94" s="40" t="n">
        <x:f aca="0">E92*Assumptions!$C$77</x:f>
        <x:v>3528</x:v>
      </x:c>
      <x:c r="F94" s="40" t="n">
        <x:f aca="0">F92*Assumptions!$C$77</x:f>
        <x:v>3704.4000000000005</x:v>
      </x:c>
      <x:c r="G94" s="40" t="n">
        <x:f aca="0">G92*Assumptions!$C$77</x:f>
        <x:v>3889.620000000001</x:v>
      </x:c>
      <x:c r="H94" s="40" t="n">
        <x:f aca="0">H92*Assumptions!$C$77</x:f>
        <x:v>4084.101000000001</x:v>
      </x:c>
      <x:c r="I94" s="40" t="n">
        <x:f aca="0">I92*Assumptions!$C$77</x:f>
        <x:v>4288.306050000001</x:v>
      </x:c>
      <x:c r="J94" s="40" t="n">
        <x:f aca="0">J92*Assumptions!$C$77</x:f>
        <x:v>4502.721352500001</x:v>
      </x:c>
      <x:c r="K94" s="40" t="n">
        <x:f aca="0">K92*Assumptions!$C$77</x:f>
        <x:v>4727.857420125001</x:v>
      </x:c>
      <x:c r="L94" s="40" t="n">
        <x:f aca="0">L92*Assumptions!$C$77</x:f>
        <x:v>4964.250291131252</x:v>
      </x:c>
      <x:c r="M94" s="40" t="n">
        <x:f aca="0">M92*Assumptions!$C$77</x:f>
        <x:v>5212.462805687815</x:v>
      </x:c>
      <x:c r="N94" s="40" t="n">
        <x:f aca="0">N92*Assumptions!$C$77</x:f>
        <x:v>5473.085945972205</x:v>
      </x:c>
      <x:c r="O94" s="40" t="n">
        <x:f aca="0">O92*Assumptions!$C$77</x:f>
        <x:v>5746.740243270816</x:v>
      </x:c>
      <x:c r="P94" s="40" t="n">
        <x:f aca="0">P92*Assumptions!$C$77</x:f>
        <x:v>6034.077255434357</x:v>
      </x:c>
      <x:c r="Q94" s="40" t="n">
        <x:f aca="0">Q92*Assumptions!$C$77</x:f>
        <x:v>6335.781118206075</x:v>
      </x:c>
      <x:c r="R94" s="40" t="n">
        <x:f aca="0">R92*Assumptions!$C$77</x:f>
        <x:v>6652.570174116379</x:v>
      </x:c>
      <x:c r="S94" s="40" t="n">
        <x:f aca="0">S92*Assumptions!$C$77</x:f>
        <x:v>6985.198682822198</x:v>
      </x:c>
      <x:c r="T94" s="40" t="n">
        <x:f aca="0">T92*Assumptions!$C$77</x:f>
        <x:v>7334.4586169633085</x:v>
      </x:c>
      <x:c r="U94" s="40" t="n">
        <x:f aca="0">U92*Assumptions!$C$77</x:f>
        <x:v>7701.181547811473</x:v>
      </x:c>
      <x:c r="V94" s="40" t="n">
        <x:f aca="0">V92*Assumptions!$C$77</x:f>
        <x:v>8086.240625202049</x:v>
      </x:c>
      <x:c r="W94" s="40" t="n">
        <x:f aca="0">W92*Assumptions!$C$77</x:f>
        <x:v>8490.55265646215</x:v>
      </x:c>
      <x:c r="X94" s="40" t="n">
        <x:f aca="0">X92*Assumptions!$C$77</x:f>
        <x:v>8915.080289285259</x:v>
      </x:c>
      <x:c r="Y94" s="40" t="n">
        <x:f aca="0">Y92*Assumptions!$C$77</x:f>
        <x:v>9360.834303749521</x:v>
      </x:c>
      <x:c r="Z94" s="40" t="n">
        <x:f aca="0">Z92*Assumptions!$C$77</x:f>
        <x:v>9828.876018936999</x:v>
      </x:c>
    </x:row>
    <x:row r="95" ht="16.5" hidden="0" customHeight="1">
      <x:c r="A95" s="11" t="s">
        <x:v>375</x:v>
      </x:c>
      <x:c r="B95" s="11" t="s">
        <x:v>240</x:v>
      </x:c>
      <x:c r="C95" s="42" t="n">
        <x:f aca="0">IF(OR(Assumptions!$C$75=0,C93&gt;Assumptions!$C$83,C94&gt;Assumptions!$C$84),1,0)</x:f>
        <x:v>1</x:v>
      </x:c>
      <x:c r="D95" s="42" t="n">
        <x:f aca="0">MAX(C95,IF(OR(Assumptions!$C$75=0,D93&gt;Assumptions!$C$83,D94&gt;Assumptions!$C$84),1,0))</x:f>
        <x:v>1</x:v>
      </x:c>
      <x:c r="E95" s="42" t="n">
        <x:f aca="0">MAX(D95,IF(OR(Assumptions!$C$75=0,E93&gt;Assumptions!$C$83,E94&gt;Assumptions!$C$84),1,0))</x:f>
        <x:v>1</x:v>
      </x:c>
      <x:c r="F95" s="42" t="n">
        <x:f aca="0">MAX(E95,IF(OR(Assumptions!$C$75=0,F93&gt;Assumptions!$C$83,F94&gt;Assumptions!$C$84),1,0))</x:f>
        <x:v>1</x:v>
      </x:c>
      <x:c r="G95" s="42" t="n">
        <x:f aca="0">MAX(F95,IF(OR(Assumptions!$C$75=0,G93&gt;Assumptions!$C$83,G94&gt;Assumptions!$C$84),1,0))</x:f>
        <x:v>1</x:v>
      </x:c>
      <x:c r="H95" s="42" t="n">
        <x:f aca="0">MAX(G95,IF(OR(Assumptions!$C$75=0,H93&gt;Assumptions!$C$83,H94&gt;Assumptions!$C$84),1,0))</x:f>
        <x:v>1</x:v>
      </x:c>
      <x:c r="I95" s="42" t="n">
        <x:f aca="0">MAX(H95,IF(OR(Assumptions!$C$75=0,I93&gt;Assumptions!$C$83,I94&gt;Assumptions!$C$84),1,0))</x:f>
        <x:v>1</x:v>
      </x:c>
      <x:c r="J95" s="42" t="n">
        <x:f aca="0">MAX(I95,IF(OR(Assumptions!$C$75=0,J93&gt;Assumptions!$C$83,J94&gt;Assumptions!$C$84),1,0))</x:f>
        <x:v>1</x:v>
      </x:c>
      <x:c r="K95" s="42" t="n">
        <x:f aca="0">MAX(J95,IF(OR(Assumptions!$C$75=0,K93&gt;Assumptions!$C$83,K94&gt;Assumptions!$C$84),1,0))</x:f>
        <x:v>1</x:v>
      </x:c>
      <x:c r="L95" s="42" t="n">
        <x:f aca="0">MAX(K95,IF(OR(Assumptions!$C$75=0,L93&gt;Assumptions!$C$83,L94&gt;Assumptions!$C$84),1,0))</x:f>
        <x:v>1</x:v>
      </x:c>
      <x:c r="M95" s="42" t="n">
        <x:f aca="0">MAX(L95,IF(OR(Assumptions!$C$75=0,M93&gt;Assumptions!$C$83,M94&gt;Assumptions!$C$84),1,0))</x:f>
        <x:v>1</x:v>
      </x:c>
      <x:c r="N95" s="42" t="n">
        <x:f aca="0">MAX(M95,IF(OR(Assumptions!$C$75=0,N93&gt;Assumptions!$C$83,N94&gt;Assumptions!$C$84),1,0))</x:f>
        <x:v>1</x:v>
      </x:c>
      <x:c r="O95" s="42" t="n">
        <x:f aca="0">MAX(N95,IF(OR(Assumptions!$C$75=0,O93&gt;Assumptions!$C$83,O94&gt;Assumptions!$C$84),1,0))</x:f>
        <x:v>1</x:v>
      </x:c>
      <x:c r="P95" s="42" t="n">
        <x:f aca="0">MAX(O95,IF(OR(Assumptions!$C$75=0,P93&gt;Assumptions!$C$83,P94&gt;Assumptions!$C$84),1,0))</x:f>
        <x:v>1</x:v>
      </x:c>
      <x:c r="Q95" s="42" t="n">
        <x:f aca="0">MAX(P95,IF(OR(Assumptions!$C$75=0,Q93&gt;Assumptions!$C$83,Q94&gt;Assumptions!$C$84),1,0))</x:f>
        <x:v>1</x:v>
      </x:c>
      <x:c r="R95" s="42" t="n">
        <x:f aca="0">MAX(Q95,IF(OR(Assumptions!$C$75=0,R93&gt;Assumptions!$C$83,R94&gt;Assumptions!$C$84),1,0))</x:f>
        <x:v>1</x:v>
      </x:c>
      <x:c r="S95" s="42" t="n">
        <x:f aca="0">MAX(R95,IF(OR(Assumptions!$C$75=0,S93&gt;Assumptions!$C$83,S94&gt;Assumptions!$C$84),1,0))</x:f>
        <x:v>1</x:v>
      </x:c>
      <x:c r="T95" s="42" t="n">
        <x:f aca="0">MAX(S95,IF(OR(Assumptions!$C$75=0,T93&gt;Assumptions!$C$83,T94&gt;Assumptions!$C$84),1,0))</x:f>
        <x:v>1</x:v>
      </x:c>
      <x:c r="U95" s="42" t="n">
        <x:f aca="0">MAX(T95,IF(OR(Assumptions!$C$75=0,U93&gt;Assumptions!$C$83,U94&gt;Assumptions!$C$84),1,0))</x:f>
        <x:v>1</x:v>
      </x:c>
      <x:c r="V95" s="42" t="n">
        <x:f aca="0">MAX(U95,IF(OR(Assumptions!$C$75=0,V93&gt;Assumptions!$C$83,V94&gt;Assumptions!$C$84),1,0))</x:f>
        <x:v>1</x:v>
      </x:c>
      <x:c r="W95" s="42" t="n">
        <x:f aca="0">MAX(V95,IF(OR(Assumptions!$C$75=0,W93&gt;Assumptions!$C$83,W94&gt;Assumptions!$C$84),1,0))</x:f>
        <x:v>1</x:v>
      </x:c>
      <x:c r="X95" s="42" t="n">
        <x:f aca="0">MAX(W95,IF(OR(Assumptions!$C$75=0,X93&gt;Assumptions!$C$83,X94&gt;Assumptions!$C$84),1,0))</x:f>
        <x:v>1</x:v>
      </x:c>
      <x:c r="Y95" s="42" t="n">
        <x:f aca="0">MAX(X95,IF(OR(Assumptions!$C$75=0,Y93&gt;Assumptions!$C$83,Y94&gt;Assumptions!$C$84),1,0))</x:f>
        <x:v>1</x:v>
      </x:c>
      <x:c r="Z95" s="42" t="n">
        <x:f aca="0">MAX(Y95,IF(OR(Assumptions!$C$75=0,Z93&gt;Assumptions!$C$83,Z94&gt;Assumptions!$C$84),1,0))</x:f>
        <x:v>1</x:v>
      </x:c>
    </x:row>
    <x:row r="96" ht="14" hidden="0">
      <x:c r="A96" s="28" t="s">
        <x:v>376</x:v>
      </x:c>
      <x:c r="B96" s="28" t="s">
        <x:v>178</x:v>
      </x:c>
      <x:c r="C96" s="46" t="n">
        <x:f aca="0">MAX(0,C93-Assumptions!$C$79)*Assumptions!$C$81+MAX(0,C94-Assumptions!$C$80)/1000000*Assumptions!$C$82</x:f>
        <x:v>0</x:v>
      </x:c>
      <x:c r="D96" s="46" t="n">
        <x:f aca="0">MAX(0,D93-Assumptions!$C$79)*Assumptions!$C$81+MAX(0,D94-Assumptions!$C$80)/1000000*Assumptions!$C$82</x:f>
        <x:v>0</x:v>
      </x:c>
      <x:c r="E96" s="46" t="n">
        <x:f aca="0">MAX(0,E93-Assumptions!$C$79)*Assumptions!$C$81+MAX(0,E94-Assumptions!$C$80)/1000000*Assumptions!$C$82</x:f>
        <x:v>0</x:v>
      </x:c>
      <x:c r="F96" s="46" t="n">
        <x:f aca="0">MAX(0,F93-Assumptions!$C$79)*Assumptions!$C$81+MAX(0,F94-Assumptions!$C$80)/1000000*Assumptions!$C$82</x:f>
        <x:v>0</x:v>
      </x:c>
      <x:c r="G96" s="46" t="n">
        <x:f aca="0">MAX(0,G93-Assumptions!$C$79)*Assumptions!$C$81+MAX(0,G94-Assumptions!$C$80)/1000000*Assumptions!$C$82</x:f>
        <x:v>0</x:v>
      </x:c>
      <x:c r="H96" s="46" t="n">
        <x:f aca="0">MAX(0,H93-Assumptions!$C$79)*Assumptions!$C$81+MAX(0,H94-Assumptions!$C$80)/1000000*Assumptions!$C$82</x:f>
        <x:v>0</x:v>
      </x:c>
      <x:c r="I96" s="46" t="n">
        <x:f aca="0">MAX(0,I93-Assumptions!$C$79)*Assumptions!$C$81+MAX(0,I94-Assumptions!$C$80)/1000000*Assumptions!$C$82</x:f>
        <x:v>0</x:v>
      </x:c>
      <x:c r="J96" s="46" t="n">
        <x:f aca="0">MAX(0,J93-Assumptions!$C$79)*Assumptions!$C$81+MAX(0,J94-Assumptions!$C$80)/1000000*Assumptions!$C$82</x:f>
        <x:v>0</x:v>
      </x:c>
      <x:c r="K96" s="46" t="n">
        <x:f aca="0">MAX(0,K93-Assumptions!$C$79)*Assumptions!$C$81+MAX(0,K94-Assumptions!$C$80)/1000000*Assumptions!$C$82</x:f>
        <x:v>0</x:v>
      </x:c>
      <x:c r="L96" s="46" t="n">
        <x:f aca="0">MAX(0,L93-Assumptions!$C$79)*Assumptions!$C$81+MAX(0,L94-Assumptions!$C$80)/1000000*Assumptions!$C$82</x:f>
        <x:v>0</x:v>
      </x:c>
      <x:c r="M96" s="46" t="n">
        <x:f aca="0">MAX(0,M93-Assumptions!$C$79)*Assumptions!$C$81+MAX(0,M94-Assumptions!$C$80)/1000000*Assumptions!$C$82</x:f>
        <x:v>0</x:v>
      </x:c>
      <x:c r="N96" s="46" t="n">
        <x:f aca="0">MAX(0,N93-Assumptions!$C$79)*Assumptions!$C$81+MAX(0,N94-Assumptions!$C$80)/1000000*Assumptions!$C$82</x:f>
        <x:v>0</x:v>
      </x:c>
      <x:c r="O96" s="46" t="n">
        <x:f aca="0">MAX(0,O93-Assumptions!$C$79)*Assumptions!$C$81+MAX(0,O94-Assumptions!$C$80)/1000000*Assumptions!$C$82</x:f>
        <x:v>0</x:v>
      </x:c>
      <x:c r="P96" s="46" t="n">
        <x:f aca="0">MAX(0,P93-Assumptions!$C$79)*Assumptions!$C$81+MAX(0,P94-Assumptions!$C$80)/1000000*Assumptions!$C$82</x:f>
        <x:v>0</x:v>
      </x:c>
      <x:c r="Q96" s="46" t="n">
        <x:f aca="0">MAX(0,Q93-Assumptions!$C$79)*Assumptions!$C$81+MAX(0,Q94-Assumptions!$C$80)/1000000*Assumptions!$C$82</x:f>
        <x:v>0</x:v>
      </x:c>
      <x:c r="R96" s="46" t="n">
        <x:f aca="0">MAX(0,R93-Assumptions!$C$79)*Assumptions!$C$81+MAX(0,R94-Assumptions!$C$80)/1000000*Assumptions!$C$82</x:f>
        <x:v>0</x:v>
      </x:c>
      <x:c r="S96" s="46" t="n">
        <x:f aca="0">MAX(0,S93-Assumptions!$C$79)*Assumptions!$C$81+MAX(0,S94-Assumptions!$C$80)/1000000*Assumptions!$C$82</x:f>
        <x:v>0</x:v>
      </x:c>
      <x:c r="T96" s="46" t="n">
        <x:f aca="0">MAX(0,T93-Assumptions!$C$79)*Assumptions!$C$81+MAX(0,T94-Assumptions!$C$80)/1000000*Assumptions!$C$82</x:f>
        <x:v>0</x:v>
      </x:c>
      <x:c r="U96" s="46" t="n">
        <x:f aca="0">MAX(0,U93-Assumptions!$C$79)*Assumptions!$C$81+MAX(0,U94-Assumptions!$C$80)/1000000*Assumptions!$C$82</x:f>
        <x:v>0</x:v>
      </x:c>
      <x:c r="V96" s="46" t="n">
        <x:f aca="0">MAX(0,V93-Assumptions!$C$79)*Assumptions!$C$81+MAX(0,V94-Assumptions!$C$80)/1000000*Assumptions!$C$82</x:f>
        <x:v>0</x:v>
      </x:c>
      <x:c r="W96" s="46" t="n">
        <x:f aca="0">MAX(0,W93-Assumptions!$C$79)*Assumptions!$C$81+MAX(0,W94-Assumptions!$C$80)/1000000*Assumptions!$C$82</x:f>
        <x:v>0</x:v>
      </x:c>
      <x:c r="X96" s="46" t="n">
        <x:f aca="0">MAX(0,X93-Assumptions!$C$79)*Assumptions!$C$81+MAX(0,X94-Assumptions!$C$80)/1000000*Assumptions!$C$82</x:f>
        <x:v>0</x:v>
      </x:c>
      <x:c r="Y96" s="46" t="n">
        <x:f aca="0">MAX(0,Y93-Assumptions!$C$79)*Assumptions!$C$81+MAX(0,Y94-Assumptions!$C$80)/1000000*Assumptions!$C$82</x:f>
        <x:v>0</x:v>
      </x:c>
      <x:c r="Z96" s="46" t="n">
        <x:f aca="0">MAX(0,Z93-Assumptions!$C$79)*Assumptions!$C$81+MAX(0,Z94-Assumptions!$C$80)/1000000*Assumptions!$C$82</x:f>
        <x:v>0</x:v>
      </x:c>
    </x:row>
    <x:row r="97" ht="14" hidden="0">
      <x:c r="A97" s="28" t="s">
        <x:v>377</x:v>
      </x:c>
      <x:c r="B97" t="s">
        <x:v>103</x:v>
      </x:c>
      <x:c r="C97" s="41" t="n">
        <x:f aca="0">SUM(C34,C40:C42)</x:f>
        <x:v>36.26</x:v>
      </x:c>
      <x:c r="D97" s="41" t="n">
        <x:f aca="0">SUM(D34,D40:D42)</x:f>
        <x:v>53.50243999999999</x:v>
      </x:c>
      <x:c r="E97" s="41" t="n">
        <x:f aca="0">SUM(E34,E40:E42)</x:f>
        <x:v>65.197646</x:v>
      </x:c>
      <x:c r="F97" s="41" t="n">
        <x:f aca="0">SUM(F34,F40:F42)</x:f>
        <x:v>75.34097307200001</x:v>
      </x:c>
      <x:c r="G97" s="41" t="n">
        <x:f aca="0">SUM(G34,G40:G42)</x:f>
        <x:v>84.47625928659203</x:v>
      </x:c>
      <x:c r="H97" s="41" t="n">
        <x:f aca="0">SUM(H34,H40:H42)</x:f>
        <x:v>92.97247588609015</x:v>
      </x:c>
      <x:c r="I97" s="41" t="n">
        <x:f aca="0">SUM(I34,I40:I42)</x:f>
        <x:v>101.0934827775684</x:v>
      </x:c>
      <x:c r="J97" s="41" t="n">
        <x:f aca="0">SUM(J34,J40:J42)</x:f>
        <x:v>109.0296968016606</x:v>
      </x:c>
      <x:c r="K97" s="41" t="n">
        <x:f aca="0">SUM(K34,K40:K42)</x:f>
        <x:v>116.92027548868518</x:v>
      </x:c>
      <x:c r="L97" s="41" t="n">
        <x:f aca="0">SUM(L34,L40:L42)</x:f>
        <x:v>124.86866186392376</x:v>
      </x:c>
      <x:c r="M97" s="41" t="n">
        <x:f aca="0">SUM(M34,M40:M42)</x:f>
        <x:v>132.95348224351972</x:v>
      </x:c>
      <x:c r="N97" s="41" t="n">
        <x:f aca="0">SUM(N34,N40:N42)</x:f>
        <x:v>141.23619142819874</x:v>
      </x:c>
      <x:c r="O97" s="41" t="n">
        <x:f aca="0">SUM(O34,O40:O42)</x:f>
        <x:v>149.76644142817446</x:v>
      </x:c>
      <x:c r="P97" s="41" t="n">
        <x:f aca="0">SUM(P34,P40:P42)</x:f>
        <x:v>158.58585706121283</x:v>
      </x:c>
      <x:c r="Q97" s="41" t="n">
        <x:f aca="0">SUM(Q34,Q40:Q42)</x:f>
        <x:v>167.73069681230334</x:v>
      </x:c>
      <x:c r="R97" s="41" t="n">
        <x:f aca="0">SUM(R34,R40:R42)</x:f>
        <x:v>177.23373387651554</x:v>
      </x:c>
      <x:c r="S97" s="41" t="n">
        <x:f aca="0">SUM(S34,S40:S42)</x:f>
        <x:v>187.1255918805569</x:v>
      </x:c>
      <x:c r="T97" s="41" t="n">
        <x:f aca="0">SUM(T34,T40:T42)</x:f>
        <x:v>197.4356994811967</x:v>
      </x:c>
      <x:c r="U97" s="41" t="n">
        <x:f aca="0">SUM(U34,U40:U42)</x:f>
        <x:v>208.19297883162048</x:v>
      </x:c>
      <x:c r="V97" s="41" t="n">
        <x:f aca="0">SUM(V34,V40:V42)</x:f>
        <x:v>219.42634846300072</x:v>
      </x:c>
      <x:c r="W97" s="41" t="n">
        <x:f aca="0">SUM(W34,W40:W42)</x:f>
        <x:v>231.16509701926856</x:v>
      </x:c>
      <x:c r="X97" s="41" t="n">
        <x:f aca="0">SUM(X34,X40:X42)</x:f>
        <x:v>243.43916740805633</x:v>
      </x:c>
      <x:c r="Y97" s="41" t="n">
        <x:f aca="0">SUM(Y34,Y40:Y42)</x:f>
        <x:v>256.27937911992103</x:v>
      </x:c>
      <x:c r="Z97" s="41" t="n">
        <x:f aca="0">SUM(Z34,Z40:Z42)</x:f>
        <x:v>269.71760820216616</x:v>
      </x:c>
    </x:row>
    <x:row r="98" ht="14" hidden="0">
      <x:c r="A98" t="s">
        <x:v>378</x:v>
      </x:c>
      <x:c r="B98" t="s">
        <x:v>103</x:v>
      </x:c>
      <x:c r="C98" s="41" t="n">
        <x:f aca="0">SUM($C14:C14)</x:f>
        <x:v>36.26</x:v>
      </x:c>
      <x:c r="D98" s="41" t="n">
        <x:f aca="0">SUM($C14:D14)</x:f>
        <x:v>57.36584</x:v>
      </x:c>
      <x:c r="E98" s="41" t="n">
        <x:f aca="0">SUM($C14:E14)</x:f>
        <x:v>79.41584</x:v>
      </x:c>
      <x:c r="F98" s="41" t="n">
        <x:f aca="0">SUM($C14:F14)</x:f>
        <x:v>102.56834</x:v>
      </x:c>
      <x:c r="G98" s="41" t="n">
        <x:f aca="0">SUM($C14:G14)</x:f>
        <x:v>126.878465</x:v>
      </x:c>
      <x:c r="H98" s="41" t="n">
        <x:f aca="0">SUM($C14:H14)</x:f>
        <x:v>152.40409625</x:v>
      </x:c>
      <x:c r="I98" s="41" t="n">
        <x:f aca="0">SUM($C14:I14)</x:f>
        <x:v>179.20600906250002</x:v>
      </x:c>
      <x:c r="J98" s="41" t="n">
        <x:f aca="0">SUM($C14:J14)</x:f>
        <x:v>207.34801751562503</x:v>
      </x:c>
      <x:c r="K98" s="41" t="n">
        <x:f aca="0">SUM($C14:K14)</x:f>
        <x:v>236.8971263914063</x:v>
      </x:c>
      <x:c r="L98" s="41" t="n">
        <x:f aca="0">SUM($C14:L14)</x:f>
        <x:v>267.92369071097664</x:v>
      </x:c>
      <x:c r="M98" s="41" t="n">
        <x:f aca="0">SUM($C14:M14)</x:f>
        <x:v>300.50158324652546</x:v>
      </x:c>
      <x:c r="N98" s="41" t="n">
        <x:f aca="0">SUM($C14:N14)</x:f>
        <x:v>334.70837040885175</x:v>
      </x:c>
      <x:c r="O98" s="41" t="n">
        <x:f aca="0">SUM($C14:O14)</x:f>
        <x:v>370.62549692929434</x:v>
      </x:c>
      <x:c r="P98" s="41" t="n">
        <x:f aca="0">SUM($C14:P14)</x:f>
        <x:v>408.3384797757591</x:v>
      </x:c>
      <x:c r="Q98" s="41" t="n">
        <x:f aca="0">SUM($C14:Q14)</x:f>
        <x:v>447.93711176454707</x:v>
      </x:c>
      <x:c r="R98" s="41" t="n">
        <x:f aca="0">SUM($C14:R14)</x:f>
        <x:v>489.51567535277445</x:v>
      </x:c>
      <x:c r="S98" s="41" t="n">
        <x:f aca="0">SUM($C14:S14)</x:f>
        <x:v>533.1731671204132</x:v>
      </x:c>
      <x:c r="T98" s="41" t="n">
        <x:f aca="0">SUM($C14:T14)</x:f>
        <x:v>579.0135334764338</x:v>
      </x:c>
      <x:c r="U98" s="41" t="n">
        <x:f aca="0">SUM($C14:U14)</x:f>
        <x:v>627.1459181502555</x:v>
      </x:c>
      <x:c r="V98" s="41" t="n">
        <x:f aca="0">SUM($C14:V14)</x:f>
        <x:v>677.6849220577683</x:v>
      </x:c>
      <x:c r="W98" s="41" t="n">
        <x:f aca="0">SUM($C14:W14)</x:f>
        <x:v>730.7508761606567</x:v>
      </x:c>
      <x:c r="X98" s="41" t="n">
        <x:f aca="0">SUM($C14:X14)</x:f>
        <x:v>786.4701279686896</x:v>
      </x:c>
      <x:c r="Y98" s="41" t="n">
        <x:f aca="0">SUM($C14:Y14)</x:f>
        <x:v>844.9753423671241</x:v>
      </x:c>
      <x:c r="Z98" s="41" t="n">
        <x:f aca="0">SUM($C14:Z14)</x:f>
        <x:v>906.4058174854804</x:v>
      </x:c>
    </x:row>
    <x:row r="99" ht="14" hidden="0">
      <x:c r="A99" s="28" t="s">
        <x:v>379</x:v>
      </x:c>
      <x:c r="B99" s="28" t="s">
        <x:v>252</x:v>
      </x:c>
      <x:c r="C99" s="45" t="n">
        <x:f aca="0">C98*Assumptions!$C$93/1024</x:f>
        <x:v>0.003541015625</x:v>
      </x:c>
      <x:c r="D99" s="45" t="n">
        <x:f aca="0">D98*Assumptions!$C$93/1024</x:f>
        <x:v>0.0056021328125000006</x:v>
      </x:c>
      <x:c r="E99" s="45" t="n">
        <x:f aca="0">E98*Assumptions!$C$93/1024</x:f>
        <x:v>0.007755453125000001</x:v>
      </x:c>
      <x:c r="F99" s="45" t="n">
        <x:f aca="0">F98*Assumptions!$C$93/1024</x:f>
        <x:v>0.010016439453125001</x:v>
      </x:c>
      <x:c r="G99" s="45" t="n">
        <x:f aca="0">G98*Assumptions!$C$93/1024</x:f>
        <x:v>0.012390475097656251</x:v>
      </x:c>
      <x:c r="H99" s="45" t="n">
        <x:f aca="0">H98*Assumptions!$C$93/1024</x:f>
        <x:v>0.014883212524414064</x:v>
      </x:c>
      <x:c r="I99" s="45" t="n">
        <x:f aca="0">I98*Assumptions!$C$93/1024</x:f>
        <x:v>0.017500586822509767</x:v>
      </x:c>
      <x:c r="J99" s="45" t="n">
        <x:f aca="0">J98*Assumptions!$C$93/1024</x:f>
        <x:v>0.020248829835510258</x:v>
      </x:c>
      <x:c r="K99" s="45" t="n">
        <x:f aca="0">K98*Assumptions!$C$93/1024</x:f>
        <x:v>0.023134484999160772</x:v>
      </x:c>
      <x:c r="L99" s="45" t="n">
        <x:f aca="0">L98*Assumptions!$C$93/1024</x:f>
        <x:v>0.026164422920993816</x:v>
      </x:c>
      <x:c r="M99" s="45" t="n">
        <x:f aca="0">M98*Assumptions!$C$93/1024</x:f>
        <x:v>0.029345857738918502</x:v>
      </x:c>
      <x:c r="N99" s="45" t="n">
        <x:f aca="0">N98*Assumptions!$C$93/1024</x:f>
        <x:v>0.03268636429773943</x:v>
      </x:c>
      <x:c r="O99" s="45" t="n">
        <x:f aca="0">O98*Assumptions!$C$93/1024</x:f>
        <x:v>0.0361938961845014</x:v>
      </x:c>
      <x:c r="P99" s="45" t="n">
        <x:f aca="0">P98*Assumptions!$C$93/1024</x:f>
        <x:v>0.03987680466560148</x:v>
      </x:c>
      <x:c r="Q99" s="45" t="n">
        <x:f aca="0">Q98*Assumptions!$C$93/1024</x:f>
        <x:v>0.04374385857075655</x:v>
      </x:c>
      <x:c r="R99" s="45" t="n">
        <x:f aca="0">R98*Assumptions!$C$93/1024</x:f>
        <x:v>0.04780426517116938</x:v>
      </x:c>
      <x:c r="S99" s="45" t="n">
        <x:f aca="0">S98*Assumptions!$C$93/1024</x:f>
        <x:v>0.05206769210160285</x:v>
      </x:c>
      <x:c r="T99" s="45" t="n">
        <x:f aca="0">T98*Assumptions!$C$93/1024</x:f>
        <x:v>0.056544290378557995</x:v>
      </x:c>
      <x:c r="U99" s="45" t="n">
        <x:f aca="0">U98*Assumptions!$C$93/1024</x:f>
        <x:v>0.061244718569360895</x:v>
      </x:c>
      <x:c r="V99" s="45" t="n">
        <x:f aca="0">V98*Assumptions!$C$93/1024</x:f>
        <x:v>0.06618016816970394</x:v>
      </x:c>
      <x:c r="W99" s="45" t="n">
        <x:f aca="0">W98*Assumptions!$C$93/1024</x:f>
        <x:v>0.07136239025006413</x:v>
      </x:c>
      <x:c r="X99" s="45" t="n">
        <x:f aca="0">X98*Assumptions!$C$93/1024</x:f>
        <x:v>0.07680372343444235</x:v>
      </x:c>
      <x:c r="Y99" s="45" t="n">
        <x:f aca="0">Y98*Assumptions!$C$93/1024</x:f>
        <x:v>0.08251712327803946</x:v>
      </x:c>
      <x:c r="Z99" s="45" t="n">
        <x:f aca="0">Z98*Assumptions!$C$93/1024</x:f>
        <x:v>0.08851619311381645</x:v>
      </x:c>
    </x:row>
    <x:row r="100" ht="14" hidden="0">
      <x:c r="A100" s="28" t="s">
        <x:v>380</x:v>
      </x:c>
      <x:c r="B100" s="28" t="s">
        <x:v>252</x:v>
      </x:c>
      <x:c r="C100" s="45" t="n">
        <x:f aca="0">C97*Assumptions!$C$94</x:f>
        <x:v>0.3626</x:v>
      </x:c>
      <x:c r="D100" s="45" t="n">
        <x:f aca="0">D97*Assumptions!$C$94</x:f>
        <x:v>0.5350244</x:v>
      </x:c>
      <x:c r="E100" s="45" t="n">
        <x:f aca="0">E97*Assumptions!$C$94</x:f>
        <x:v>0.6519764600000001</x:v>
      </x:c>
      <x:c r="F100" s="45" t="n">
        <x:f aca="0">F97*Assumptions!$C$94</x:f>
        <x:v>0.7534097307200002</x:v>
      </x:c>
      <x:c r="G100" s="45" t="n">
        <x:f aca="0">G97*Assumptions!$C$94</x:f>
        <x:v>0.8447625928659203</x:v>
      </x:c>
      <x:c r="H100" s="45" t="n">
        <x:f aca="0">H97*Assumptions!$C$94</x:f>
        <x:v>0.9297247588609016</x:v>
      </x:c>
      <x:c r="I100" s="45" t="n">
        <x:f aca="0">I97*Assumptions!$C$94</x:f>
        <x:v>1.010934827775684</x:v>
      </x:c>
      <x:c r="J100" s="45" t="n">
        <x:f aca="0">J97*Assumptions!$C$94</x:f>
        <x:v>1.0902969680166061</x:v>
      </x:c>
      <x:c r="K100" s="45" t="n">
        <x:f aca="0">K97*Assumptions!$C$94</x:f>
        <x:v>1.1692027548868518</x:v>
      </x:c>
      <x:c r="L100" s="45" t="n">
        <x:f aca="0">L97*Assumptions!$C$94</x:f>
        <x:v>1.2486866186392376</x:v>
      </x:c>
      <x:c r="M100" s="45" t="n">
        <x:f aca="0">M97*Assumptions!$C$94</x:f>
        <x:v>1.3295348224351973</x:v>
      </x:c>
      <x:c r="N100" s="45" t="n">
        <x:f aca="0">N97*Assumptions!$C$94</x:f>
        <x:v>1.4123619142819874</x:v>
      </x:c>
      <x:c r="O100" s="45" t="n">
        <x:f aca="0">O97*Assumptions!$C$94</x:f>
        <x:v>1.4976644142817446</x:v>
      </x:c>
      <x:c r="P100" s="45" t="n">
        <x:f aca="0">P97*Assumptions!$C$94</x:f>
        <x:v>1.5858585706121284</x:v>
      </x:c>
      <x:c r="Q100" s="45" t="n">
        <x:f aca="0">Q97*Assumptions!$C$94</x:f>
        <x:v>1.6773069681230335</x:v>
      </x:c>
      <x:c r="R100" s="45" t="n">
        <x:f aca="0">R97*Assumptions!$C$94</x:f>
        <x:v>1.7723373387651555</x:v>
      </x:c>
      <x:c r="S100" s="45" t="n">
        <x:f aca="0">S97*Assumptions!$C$94</x:f>
        <x:v>1.871255918805569</x:v>
      </x:c>
      <x:c r="T100" s="45" t="n">
        <x:f aca="0">T97*Assumptions!$C$94</x:f>
        <x:v>1.974356994811967</x:v>
      </x:c>
      <x:c r="U100" s="45" t="n">
        <x:f aca="0">U97*Assumptions!$C$94</x:f>
        <x:v>2.081929788316205</x:v>
      </x:c>
      <x:c r="V100" s="45" t="n">
        <x:f aca="0">V97*Assumptions!$C$94</x:f>
        <x:v>2.194263484630007</x:v>
      </x:c>
      <x:c r="W100" s="45" t="n">
        <x:f aca="0">W97*Assumptions!$C$94</x:f>
        <x:v>2.3116509701926855</x:v>
      </x:c>
      <x:c r="X100" s="45" t="n">
        <x:f aca="0">X97*Assumptions!$C$94</x:f>
        <x:v>2.4343916740805636</x:v>
      </x:c>
      <x:c r="Y100" s="45" t="n">
        <x:f aca="0">Y97*Assumptions!$C$94</x:f>
        <x:v>2.5627937911992102</x:v>
      </x:c>
      <x:c r="Z100" s="45" t="n">
        <x:f aca="0">Z97*Assumptions!$C$94</x:f>
        <x:v>2.6971760820216617</x:v>
      </x:c>
    </x:row>
    <x:row r="101" ht="14" hidden="0">
      <x:c r="A101" s="28" t="s">
        <x:v>381</x:v>
      </x:c>
      <x:c r="B101" s="28" t="s">
        <x:v>252</x:v>
      </x:c>
      <x:c r="C101" s="45" t="n">
        <x:f aca="0">C98*Assumptions!$C$95</x:f>
        <x:v>0.03626</x:v>
      </x:c>
      <x:c r="D101" s="45" t="n">
        <x:f aca="0">D98*Assumptions!$C$95</x:f>
        <x:v>0.05736584</x:v>
      </x:c>
      <x:c r="E101" s="45" t="n">
        <x:f aca="0">E98*Assumptions!$C$95</x:f>
        <x:v>0.07941584</x:v>
      </x:c>
      <x:c r="F101" s="45" t="n">
        <x:f aca="0">F98*Assumptions!$C$95</x:f>
        <x:v>0.10256834000000001</x:v>
      </x:c>
      <x:c r="G101" s="45" t="n">
        <x:f aca="0">G98*Assumptions!$C$95</x:f>
        <x:v>0.126878465</x:v>
      </x:c>
      <x:c r="H101" s="45" t="n">
        <x:f aca="0">H98*Assumptions!$C$95</x:f>
        <x:v>0.15240409625</x:v>
      </x:c>
      <x:c r="I101" s="45" t="n">
        <x:f aca="0">I98*Assumptions!$C$95</x:f>
        <x:v>0.17920600906250003</x:v>
      </x:c>
      <x:c r="J101" s="45" t="n">
        <x:f aca="0">J98*Assumptions!$C$95</x:f>
        <x:v>0.20734801751562504</x:v>
      </x:c>
      <x:c r="K101" s="45" t="n">
        <x:f aca="0">K98*Assumptions!$C$95</x:f>
        <x:v>0.23689712639140628</x:v>
      </x:c>
      <x:c r="L101" s="45" t="n">
        <x:f aca="0">L98*Assumptions!$C$95</x:f>
        <x:v>0.26792369071097666</x:v>
      </x:c>
      <x:c r="M101" s="45" t="n">
        <x:f aca="0">M98*Assumptions!$C$95</x:f>
        <x:v>0.3005015832465255</x:v>
      </x:c>
      <x:c r="N101" s="45" t="n">
        <x:f aca="0">N98*Assumptions!$C$95</x:f>
        <x:v>0.33470837040885176</x:v>
      </x:c>
      <x:c r="O101" s="45" t="n">
        <x:f aca="0">O98*Assumptions!$C$95</x:f>
        <x:v>0.37062549692929436</x:v>
      </x:c>
      <x:c r="P101" s="45" t="n">
        <x:f aca="0">P98*Assumptions!$C$95</x:f>
        <x:v>0.4083384797757591</x:v>
      </x:c>
      <x:c r="Q101" s="45" t="n">
        <x:f aca="0">Q98*Assumptions!$C$95</x:f>
        <x:v>0.4479371117645471</x:v>
      </x:c>
      <x:c r="R101" s="45" t="n">
        <x:f aca="0">R98*Assumptions!$C$95</x:f>
        <x:v>0.48951567535277446</x:v>
      </x:c>
      <x:c r="S101" s="45" t="n">
        <x:f aca="0">S98*Assumptions!$C$95</x:f>
        <x:v>0.5331731671204132</x:v>
      </x:c>
      <x:c r="T101" s="45" t="n">
        <x:f aca="0">T98*Assumptions!$C$95</x:f>
        <x:v>0.5790135334764339</x:v>
      </x:c>
      <x:c r="U101" s="45" t="n">
        <x:f aca="0">U98*Assumptions!$C$95</x:f>
        <x:v>0.6271459181502556</x:v>
      </x:c>
      <x:c r="V101" s="45" t="n">
        <x:f aca="0">V98*Assumptions!$C$95</x:f>
        <x:v>0.6776849220577683</x:v>
      </x:c>
      <x:c r="W101" s="45" t="n">
        <x:f aca="0">W98*Assumptions!$C$95</x:f>
        <x:v>0.7307508761606567</x:v>
      </x:c>
      <x:c r="X101" s="45" t="n">
        <x:f aca="0">X98*Assumptions!$C$95</x:f>
        <x:v>0.7864701279686895</x:v>
      </x:c>
      <x:c r="Y101" s="45" t="n">
        <x:f aca="0">Y98*Assumptions!$C$95</x:f>
        <x:v>0.8449753423671241</x:v>
      </x:c>
      <x:c r="Z101" s="45" t="n">
        <x:f aca="0">Z98*Assumptions!$C$95</x:f>
        <x:v>0.9064058174854804</x:v>
      </x:c>
    </x:row>
    <x:row r="102" ht="14" hidden="0">
      <x:c r="A102" s="28" t="s">
        <x:v>382</x:v>
      </x:c>
      <x:c r="B102" s="28" t="s">
        <x:v>240</x:v>
      </x:c>
      <x:c r="C102" s="43" t="n">
        <x:f aca="0">IF(OR(C97&gt;Assumptions!$C$85,C99&gt;Assumptions!$C$86,C100&gt;Assumptions!$C$87,C101&gt;Assumptions!$C$88),1,0)</x:f>
        <x:v>0</x:v>
      </x:c>
      <x:c r="D102" s="43" t="n">
        <x:f aca="0">MAX(C102,IF(OR(D97&gt;Assumptions!$C$85,D99&gt;Assumptions!$C$86,D100&gt;Assumptions!$C$87,D101&gt;Assumptions!$C$88),1,0))</x:f>
        <x:v>0</x:v>
      </x:c>
      <x:c r="E102" s="43" t="n">
        <x:f aca="0">MAX(D102,IF(OR(E97&gt;Assumptions!$C$85,E99&gt;Assumptions!$C$86,E100&gt;Assumptions!$C$87,E101&gt;Assumptions!$C$88),1,0))</x:f>
        <x:v>0</x:v>
      </x:c>
      <x:c r="F102" s="43" t="n">
        <x:f aca="0">MAX(E102,IF(OR(F97&gt;Assumptions!$C$85,F99&gt;Assumptions!$C$86,F100&gt;Assumptions!$C$87,F101&gt;Assumptions!$C$88),1,0))</x:f>
        <x:v>0</x:v>
      </x:c>
      <x:c r="G102" s="43" t="n">
        <x:f aca="0">MAX(F102,IF(OR(G97&gt;Assumptions!$C$85,G99&gt;Assumptions!$C$86,G100&gt;Assumptions!$C$87,G101&gt;Assumptions!$C$88),1,0))</x:f>
        <x:v>0</x:v>
      </x:c>
      <x:c r="H102" s="43" t="n">
        <x:f aca="0">MAX(G102,IF(OR(H97&gt;Assumptions!$C$85,H99&gt;Assumptions!$C$86,H100&gt;Assumptions!$C$87,H101&gt;Assumptions!$C$88),1,0))</x:f>
        <x:v>0</x:v>
      </x:c>
      <x:c r="I102" s="43" t="n">
        <x:f aca="0">MAX(H102,IF(OR(I97&gt;Assumptions!$C$85,I99&gt;Assumptions!$C$86,I100&gt;Assumptions!$C$87,I101&gt;Assumptions!$C$88),1,0))</x:f>
        <x:v>0</x:v>
      </x:c>
      <x:c r="J102" s="43" t="n">
        <x:f aca="0">MAX(I102,IF(OR(J97&gt;Assumptions!$C$85,J99&gt;Assumptions!$C$86,J100&gt;Assumptions!$C$87,J101&gt;Assumptions!$C$88),1,0))</x:f>
        <x:v>0</x:v>
      </x:c>
      <x:c r="K102" s="43" t="n">
        <x:f aca="0">MAX(J102,IF(OR(K97&gt;Assumptions!$C$85,K99&gt;Assumptions!$C$86,K100&gt;Assumptions!$C$87,K101&gt;Assumptions!$C$88),1,0))</x:f>
        <x:v>0</x:v>
      </x:c>
      <x:c r="L102" s="43" t="n">
        <x:f aca="0">MAX(K102,IF(OR(L97&gt;Assumptions!$C$85,L99&gt;Assumptions!$C$86,L100&gt;Assumptions!$C$87,L101&gt;Assumptions!$C$88),1,0))</x:f>
        <x:v>0</x:v>
      </x:c>
      <x:c r="M102" s="43" t="n">
        <x:f aca="0">MAX(L102,IF(OR(M97&gt;Assumptions!$C$85,M99&gt;Assumptions!$C$86,M100&gt;Assumptions!$C$87,M101&gt;Assumptions!$C$88),1,0))</x:f>
        <x:v>0</x:v>
      </x:c>
      <x:c r="N102" s="43" t="n">
        <x:f aca="0">MAX(M102,IF(OR(N97&gt;Assumptions!$C$85,N99&gt;Assumptions!$C$86,N100&gt;Assumptions!$C$87,N101&gt;Assumptions!$C$88),1,0))</x:f>
        <x:v>0</x:v>
      </x:c>
      <x:c r="O102" s="43" t="n">
        <x:f aca="0">MAX(N102,IF(OR(O97&gt;Assumptions!$C$85,O99&gt;Assumptions!$C$86,O100&gt;Assumptions!$C$87,O101&gt;Assumptions!$C$88),1,0))</x:f>
        <x:v>0</x:v>
      </x:c>
      <x:c r="P102" s="43" t="n">
        <x:f aca="0">MAX(O102,IF(OR(P97&gt;Assumptions!$C$85,P99&gt;Assumptions!$C$86,P100&gt;Assumptions!$C$87,P101&gt;Assumptions!$C$88),1,0))</x:f>
        <x:v>0</x:v>
      </x:c>
      <x:c r="Q102" s="43" t="n">
        <x:f aca="0">MAX(P102,IF(OR(Q97&gt;Assumptions!$C$85,Q99&gt;Assumptions!$C$86,Q100&gt;Assumptions!$C$87,Q101&gt;Assumptions!$C$88),1,0))</x:f>
        <x:v>0</x:v>
      </x:c>
      <x:c r="R102" s="43" t="n">
        <x:f aca="0">MAX(Q102,IF(OR(R97&gt;Assumptions!$C$85,R99&gt;Assumptions!$C$86,R100&gt;Assumptions!$C$87,R101&gt;Assumptions!$C$88),1,0))</x:f>
        <x:v>0</x:v>
      </x:c>
      <x:c r="S102" s="43" t="n">
        <x:f aca="0">MAX(R102,IF(OR(S97&gt;Assumptions!$C$85,S99&gt;Assumptions!$C$86,S100&gt;Assumptions!$C$87,S101&gt;Assumptions!$C$88),1,0))</x:f>
        <x:v>0</x:v>
      </x:c>
      <x:c r="T102" s="43" t="n">
        <x:f aca="0">MAX(S102,IF(OR(T97&gt;Assumptions!$C$85,T99&gt;Assumptions!$C$86,T100&gt;Assumptions!$C$87,T101&gt;Assumptions!$C$88),1,0))</x:f>
        <x:v>0</x:v>
      </x:c>
      <x:c r="U102" s="43" t="n">
        <x:f aca="0">MAX(T102,IF(OR(U97&gt;Assumptions!$C$85,U99&gt;Assumptions!$C$86,U100&gt;Assumptions!$C$87,U101&gt;Assumptions!$C$88),1,0))</x:f>
        <x:v>0</x:v>
      </x:c>
      <x:c r="V102" s="43" t="n">
        <x:f aca="0">MAX(U102,IF(OR(V97&gt;Assumptions!$C$85,V99&gt;Assumptions!$C$86,V100&gt;Assumptions!$C$87,V101&gt;Assumptions!$C$88),1,0))</x:f>
        <x:v>0</x:v>
      </x:c>
      <x:c r="W102" s="43" t="n">
        <x:f aca="0">MAX(V102,IF(OR(W97&gt;Assumptions!$C$85,W99&gt;Assumptions!$C$86,W100&gt;Assumptions!$C$87,W101&gt;Assumptions!$C$88),1,0))</x:f>
        <x:v>0</x:v>
      </x:c>
      <x:c r="X102" s="43" t="n">
        <x:f aca="0">MAX(W102,IF(OR(X97&gt;Assumptions!$C$85,X99&gt;Assumptions!$C$86,X100&gt;Assumptions!$C$87,X101&gt;Assumptions!$C$88),1,0))</x:f>
        <x:v>0</x:v>
      </x:c>
      <x:c r="Y102" s="43" t="n">
        <x:f aca="0">MAX(X102,IF(OR(Y97&gt;Assumptions!$C$85,Y99&gt;Assumptions!$C$86,Y100&gt;Assumptions!$C$87,Y101&gt;Assumptions!$C$88),1,0))</x:f>
        <x:v>0</x:v>
      </x:c>
      <x:c r="Z102" s="43" t="n">
        <x:f aca="0">MAX(Y102,IF(OR(Z97&gt;Assumptions!$C$85,Z99&gt;Assumptions!$C$86,Z100&gt;Assumptions!$C$87,Z101&gt;Assumptions!$C$88),1,0))</x:f>
        <x:v>0</x:v>
      </x:c>
    </x:row>
    <x:row r="103" ht="14" hidden="0">
      <x:c r="A103" s="28" t="s">
        <x:v>383</x:v>
      </x:c>
      <x:c r="B103" s="28" t="s">
        <x:v>178</x:v>
      </x:c>
      <x:c r="C103" s="46" t="n">
        <x:f aca="0">MAX(0,C97-Assumptions!$C$89)*Assumptions!$C$61+MAX(0,C99-Assumptions!$C$90)*Assumptions!$C$96+MAX(0,C100-Assumptions!$C$91)*Assumptions!$C$97+MAX(0,C101-Assumptions!$C$92)*Assumptions!$C$98</x:f>
        <x:v>0</x:v>
      </x:c>
      <x:c r="D103" s="46" t="n">
        <x:f aca="0">MAX(0,D97-Assumptions!$C$89)*Assumptions!$C$61+MAX(0,D99-Assumptions!$C$90)*Assumptions!$C$96+MAX(0,D100-Assumptions!$C$91)*Assumptions!$C$97+MAX(0,D101-Assumptions!$C$92)*Assumptions!$C$98</x:f>
        <x:v>0</x:v>
      </x:c>
      <x:c r="E103" s="46" t="n">
        <x:f aca="0">MAX(0,E97-Assumptions!$C$89)*Assumptions!$C$61+MAX(0,E99-Assumptions!$C$90)*Assumptions!$C$96+MAX(0,E100-Assumptions!$C$91)*Assumptions!$C$97+MAX(0,E101-Assumptions!$C$92)*Assumptions!$C$98</x:f>
        <x:v>0</x:v>
      </x:c>
      <x:c r="F103" s="46" t="n">
        <x:f aca="0">MAX(0,F97-Assumptions!$C$89)*Assumptions!$C$61+MAX(0,F99-Assumptions!$C$90)*Assumptions!$C$96+MAX(0,F100-Assumptions!$C$91)*Assumptions!$C$97+MAX(0,F101-Assumptions!$C$92)*Assumptions!$C$98</x:f>
        <x:v>0</x:v>
      </x:c>
      <x:c r="G103" s="46" t="n">
        <x:f aca="0">MAX(0,G97-Assumptions!$C$89)*Assumptions!$C$61+MAX(0,G99-Assumptions!$C$90)*Assumptions!$C$96+MAX(0,G100-Assumptions!$C$91)*Assumptions!$C$97+MAX(0,G101-Assumptions!$C$92)*Assumptions!$C$98</x:f>
        <x:v>0</x:v>
      </x:c>
      <x:c r="H103" s="46" t="n">
        <x:f aca="0">MAX(0,H97-Assumptions!$C$89)*Assumptions!$C$61+MAX(0,H99-Assumptions!$C$90)*Assumptions!$C$96+MAX(0,H100-Assumptions!$C$91)*Assumptions!$C$97+MAX(0,H101-Assumptions!$C$92)*Assumptions!$C$98</x:f>
        <x:v>0</x:v>
      </x:c>
      <x:c r="I103" s="46" t="n">
        <x:f aca="0">MAX(0,I97-Assumptions!$C$89)*Assumptions!$C$61+MAX(0,I99-Assumptions!$C$90)*Assumptions!$C$96+MAX(0,I100-Assumptions!$C$91)*Assumptions!$C$97+MAX(0,I101-Assumptions!$C$92)*Assumptions!$C$98</x:f>
        <x:v>0</x:v>
      </x:c>
      <x:c r="J103" s="46" t="n">
        <x:f aca="0">MAX(0,J97-Assumptions!$C$89)*Assumptions!$C$61+MAX(0,J99-Assumptions!$C$90)*Assumptions!$C$96+MAX(0,J100-Assumptions!$C$91)*Assumptions!$C$97+MAX(0,J101-Assumptions!$C$92)*Assumptions!$C$98</x:f>
        <x:v>0</x:v>
      </x:c>
      <x:c r="K103" s="46" t="n">
        <x:f aca="0">MAX(0,K97-Assumptions!$C$89)*Assumptions!$C$61+MAX(0,K99-Assumptions!$C$90)*Assumptions!$C$96+MAX(0,K100-Assumptions!$C$91)*Assumptions!$C$97+MAX(0,K101-Assumptions!$C$92)*Assumptions!$C$98</x:f>
        <x:v>0</x:v>
      </x:c>
      <x:c r="L103" s="46" t="n">
        <x:f aca="0">MAX(0,L97-Assumptions!$C$89)*Assumptions!$C$61+MAX(0,L99-Assumptions!$C$90)*Assumptions!$C$96+MAX(0,L100-Assumptions!$C$91)*Assumptions!$C$97+MAX(0,L101-Assumptions!$C$92)*Assumptions!$C$98</x:f>
        <x:v>0</x:v>
      </x:c>
      <x:c r="M103" s="46" t="n">
        <x:f aca="0">MAX(0,M97-Assumptions!$C$89)*Assumptions!$C$61+MAX(0,M99-Assumptions!$C$90)*Assumptions!$C$96+MAX(0,M100-Assumptions!$C$91)*Assumptions!$C$97+MAX(0,M101-Assumptions!$C$92)*Assumptions!$C$98</x:f>
        <x:v>0</x:v>
      </x:c>
      <x:c r="N103" s="46" t="n">
        <x:f aca="0">MAX(0,N97-Assumptions!$C$89)*Assumptions!$C$61+MAX(0,N99-Assumptions!$C$90)*Assumptions!$C$96+MAX(0,N100-Assumptions!$C$91)*Assumptions!$C$97+MAX(0,N101-Assumptions!$C$92)*Assumptions!$C$98</x:f>
        <x:v>0</x:v>
      </x:c>
      <x:c r="O103" s="46" t="n">
        <x:f aca="0">MAX(0,O97-Assumptions!$C$89)*Assumptions!$C$61+MAX(0,O99-Assumptions!$C$90)*Assumptions!$C$96+MAX(0,O100-Assumptions!$C$91)*Assumptions!$C$97+MAX(0,O101-Assumptions!$C$92)*Assumptions!$C$98</x:f>
        <x:v>0</x:v>
      </x:c>
      <x:c r="P103" s="46" t="n">
        <x:f aca="0">MAX(0,P97-Assumptions!$C$89)*Assumptions!$C$61+MAX(0,P99-Assumptions!$C$90)*Assumptions!$C$96+MAX(0,P100-Assumptions!$C$91)*Assumptions!$C$97+MAX(0,P101-Assumptions!$C$92)*Assumptions!$C$98</x:f>
        <x:v>0</x:v>
      </x:c>
      <x:c r="Q103" s="46" t="n">
        <x:f aca="0">MAX(0,Q97-Assumptions!$C$89)*Assumptions!$C$61+MAX(0,Q99-Assumptions!$C$90)*Assumptions!$C$96+MAX(0,Q100-Assumptions!$C$91)*Assumptions!$C$97+MAX(0,Q101-Assumptions!$C$92)*Assumptions!$C$98</x:f>
        <x:v>0</x:v>
      </x:c>
      <x:c r="R103" s="46" t="n">
        <x:f aca="0">MAX(0,R97-Assumptions!$C$89)*Assumptions!$C$61+MAX(0,R99-Assumptions!$C$90)*Assumptions!$C$96+MAX(0,R100-Assumptions!$C$91)*Assumptions!$C$97+MAX(0,R101-Assumptions!$C$92)*Assumptions!$C$98</x:f>
        <x:v>0</x:v>
      </x:c>
      <x:c r="S103" s="46" t="n">
        <x:f aca="0">MAX(0,S97-Assumptions!$C$89)*Assumptions!$C$61+MAX(0,S99-Assumptions!$C$90)*Assumptions!$C$96+MAX(0,S100-Assumptions!$C$91)*Assumptions!$C$97+MAX(0,S101-Assumptions!$C$92)*Assumptions!$C$98</x:f>
        <x:v>0</x:v>
      </x:c>
      <x:c r="T103" s="46" t="n">
        <x:f aca="0">MAX(0,T97-Assumptions!$C$89)*Assumptions!$C$61+MAX(0,T99-Assumptions!$C$90)*Assumptions!$C$96+MAX(0,T100-Assumptions!$C$91)*Assumptions!$C$97+MAX(0,T101-Assumptions!$C$92)*Assumptions!$C$98</x:f>
        <x:v>0</x:v>
      </x:c>
      <x:c r="U103" s="46" t="n">
        <x:f aca="0">MAX(0,U97-Assumptions!$C$89)*Assumptions!$C$61+MAX(0,U99-Assumptions!$C$90)*Assumptions!$C$96+MAX(0,U100-Assumptions!$C$91)*Assumptions!$C$97+MAX(0,U101-Assumptions!$C$92)*Assumptions!$C$98</x:f>
        <x:v>0</x:v>
      </x:c>
      <x:c r="V103" s="46" t="n">
        <x:f aca="0">MAX(0,V97-Assumptions!$C$89)*Assumptions!$C$61+MAX(0,V99-Assumptions!$C$90)*Assumptions!$C$96+MAX(0,V100-Assumptions!$C$91)*Assumptions!$C$97+MAX(0,V101-Assumptions!$C$92)*Assumptions!$C$98</x:f>
        <x:v>0</x:v>
      </x:c>
      <x:c r="W103" s="46" t="n">
        <x:f aca="0">MAX(0,W97-Assumptions!$C$89)*Assumptions!$C$61+MAX(0,W99-Assumptions!$C$90)*Assumptions!$C$96+MAX(0,W100-Assumptions!$C$91)*Assumptions!$C$97+MAX(0,W101-Assumptions!$C$92)*Assumptions!$C$98</x:f>
        <x:v>0</x:v>
      </x:c>
      <x:c r="X103" s="46" t="n">
        <x:f aca="0">MAX(0,X97-Assumptions!$C$89)*Assumptions!$C$61+MAX(0,X99-Assumptions!$C$90)*Assumptions!$C$96+MAX(0,X100-Assumptions!$C$91)*Assumptions!$C$97+MAX(0,X101-Assumptions!$C$92)*Assumptions!$C$98</x:f>
        <x:v>0</x:v>
      </x:c>
      <x:c r="Y103" s="46" t="n">
        <x:f aca="0">MAX(0,Y97-Assumptions!$C$89)*Assumptions!$C$61+MAX(0,Y99-Assumptions!$C$90)*Assumptions!$C$96+MAX(0,Y100-Assumptions!$C$91)*Assumptions!$C$97+MAX(0,Y101-Assumptions!$C$92)*Assumptions!$C$98</x:f>
        <x:v>0</x:v>
      </x:c>
      <x:c r="Z103" s="46" t="n">
        <x:f aca="0">MAX(0,Z97-Assumptions!$C$89)*Assumptions!$C$61+MAX(0,Z99-Assumptions!$C$90)*Assumptions!$C$96+MAX(0,Z100-Assumptions!$C$91)*Assumptions!$C$97+MAX(0,Z101-Assumptions!$C$92)*Assumptions!$C$98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0.54296875" defaultRowHeight="14"/>
  <x:cols>
    <x:col min="1" max="1" width="9.949999809265137" hidden="0" customWidth="1"/>
    <x:col min="2" max="2" width="45.150001525878906" hidden="0" customWidth="1"/>
    <x:col min="3" max="3" width="50.31999969482422" hidden="0" customWidth="1"/>
    <x:col min="4" max="4" width="78.18000030517578" hidden="0" customWidth="1"/>
    <x:col min="5" max="26" width="14.329999923706055" hidden="0" customWidth="1"/>
  </x:cols>
  <x:sheetData>
    <x:row r="1" ht="16.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6.5" hidden="0" customHeight="1">
      <x:c r="A2" s="2" t="s">
        <x:v>384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6.5" hidden="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6.5" hidden="0" customHeight="1">
      <x:c r="A4" s="6" t="s">
        <x:v>385</x:v>
      </x:c>
      <x:c r="B4" s="5" t="s">
        <x:v>386</x:v>
      </x:c>
      <x:c r="C4" s="5" t="s">
        <x:v>387</x:v>
      </x:c>
      <x:c r="D4" s="5" t="s">
        <x:v>388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.5" hidden="0" customHeight="1">
      <x:c r="A5" s="11" t="s">
        <x:v>80</x:v>
      </x:c>
      <x:c r="B5" s="1" t="s">
        <x:v>389</x:v>
      </x:c>
      <x:c r="C5" s="38" t="s">
        <x:v>390</x:v>
      </x:c>
      <x:c r="D5" s="39" t="s">
        <x:v>391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.5" hidden="0" customHeight="1">
      <x:c r="A6" s="11" t="s">
        <x:v>200</x:v>
      </x:c>
      <x:c r="B6" s="11" t="s">
        <x:v>392</x:v>
      </x:c>
      <x:c r="C6" s="38" t="s">
        <x:v>393</x:v>
      </x:c>
      <x:c r="D6" s="38" t="s">
        <x:v>394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.5" hidden="0" customHeight="1">
      <x:c r="A7" s="11" t="s">
        <x:v>205</x:v>
      </x:c>
      <x:c r="B7" s="11" t="s">
        <x:v>395</x:v>
      </x:c>
      <x:c r="C7" s="38" t="s">
        <x:v>396</x:v>
      </x:c>
      <x:c r="D7" s="38" t="s">
        <x:v>397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.5" hidden="0" customHeight="1">
      <x:c r="A8" s="11" t="s">
        <x:v>180</x:v>
      </x:c>
      <x:c r="B8" s="11" t="s">
        <x:v>398</x:v>
      </x:c>
      <x:c r="C8" s="39" t="s">
        <x:v>399</x:v>
      </x:c>
      <x:c r="D8" s="38" t="s">
        <x:v>400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.5" hidden="0" customHeight="1">
      <x:c r="A9" s="11" t="s">
        <x:v>185</x:v>
      </x:c>
      <x:c r="B9" s="11" t="s">
        <x:v>401</x:v>
      </x:c>
      <x:c r="C9" s="39" t="s">
        <x:v>402</x:v>
      </x:c>
      <x:c r="D9" s="38" t="s">
        <x:v>403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.5" hidden="0" customHeight="1">
      <x:c r="A10" s="11" t="s">
        <x:v>189</x:v>
      </x:c>
      <x:c r="B10" s="11" t="s">
        <x:v>404</x:v>
      </x:c>
      <x:c r="C10" s="39" t="s">
        <x:v>405</x:v>
      </x:c>
      <x:c r="D10" s="38" t="s">
        <x:v>406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.5" hidden="0" customHeight="1">
      <x:c r="A11" s="11" t="s">
        <x:v>213</x:v>
      </x:c>
      <x:c r="B11" s="1" t="s">
        <x:v>407</x:v>
      </x:c>
      <x:c r="C11" s="39" t="s">
        <x:v>408</x:v>
      </x:c>
      <x:c r="D11" s="38" t="s">
        <x:v>409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.5" hidden="0" customHeight="1">
      <x:c r="A12" s="11" t="s">
        <x:v>410</x:v>
      </x:c>
      <x:c r="B12" s="1" t="s">
        <x:v>411</x:v>
      </x:c>
      <x:c r="C12" s="39" t="s">
        <x:v>412</x:v>
      </x:c>
      <x:c r="D12" s="38" t="s">
        <x:v>413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.5" hidden="0" customHeight="1">
      <x:c r="A13" s="11" t="s">
        <x:v>229</x:v>
      </x:c>
      <x:c r="B13" s="1" t="s">
        <x:v>414</x:v>
      </x:c>
      <x:c r="C13" s="39" t="s">
        <x:v>415</x:v>
      </x:c>
      <x:c r="D13" s="38" t="s">
        <x:v>416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4.5" hidden="0" customHeight="1">
      <x:c r="A14" s="11" t="s">
        <x:v>233</x:v>
      </x:c>
      <x:c r="B14" s="1" t="s">
        <x:v>417</x:v>
      </x:c>
      <x:c r="C14" s="39" t="s">
        <x:v>418</x:v>
      </x:c>
      <x:c r="D14" s="38" t="s">
        <x:v>419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4.5" hidden="0" customHeight="1">
      <x:c r="A15" s="11" t="s">
        <x:v>117</x:v>
      </x:c>
      <x:c r="B15" s="11" t="s">
        <x:v>420</x:v>
      </x:c>
      <x:c r="C15" s="38" t="s">
        <x:v>421</x:v>
      </x:c>
      <x:c r="D15" s="38" t="s">
        <x:v>422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4.5" hidden="0" customHeight="1">
      <x:c r="A16" s="11" t="s">
        <x:v>136</x:v>
      </x:c>
      <x:c r="B16" s="11" t="s">
        <x:v>423</x:v>
      </x:c>
      <x:c r="C16" s="38" t="s">
        <x:v>424</x:v>
      </x:c>
      <x:c r="D16" s="38" t="s">
        <x:v>425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4.5" hidden="0" customHeight="1">
      <x:c r="A17" s="11" t="s">
        <x:v>121</x:v>
      </x:c>
      <x:c r="B17" s="11" t="s">
        <x:v>426</x:v>
      </x:c>
      <x:c r="C17" s="39" t="s">
        <x:v>427</x:v>
      </x:c>
      <x:c r="D17" s="38" t="s">
        <x:v>428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4.5" hidden="0" customHeight="1">
      <x:c r="A18" s="11" t="s">
        <x:v>105</x:v>
      </x:c>
      <x:c r="B18" s="1" t="s">
        <x:v>429</x:v>
      </x:c>
      <x:c r="C18" s="39" t="s">
        <x:v>430</x:v>
      </x:c>
      <x:c r="D18" s="39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6.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6.5" hidden="0" customHeight="1">
      <x:c r="A20" s="1" t="s">
        <x:v>431</x:v>
      </x:c>
      <x:c r="B20" s="11" t="s">
        <x:v>432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6.5" hidden="0" customHeight="1">
      <x:c r="A21" s="1"/>
      <x:c r="B21" s="11" t="s">
        <x:v>433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6.5" hidden="0" customHeight="1">
      <x:c r="A22" s="1"/>
      <x:c r="B22" s="11" t="s">
        <x:v>434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6.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6.5" hidden="0" customHeight="1">
      <x:c r="A24" s="1"/>
      <x:c r="B24" s="1" t="s">
        <x:v>435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6.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6.5" hidden="0" customHeight="1">
      <x:c r="A26" s="11" t="s">
        <x:v>436</x:v>
      </x:c>
      <x:c r="B26" s="11" t="s">
        <x:v>437</x:v>
      </x:c>
      <x:c r="C26" s="11" t="s">
        <x:v>438</x:v>
      </x:c>
      <x:c r="D26" s="11" t="s">
        <x:v>439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6.5" hidden="0" customHeight="1">
      <x:c r="A27" s="11" t="s">
        <x:v>440</x:v>
      </x:c>
      <x:c r="B27" s="11" t="s">
        <x:v>441</x:v>
      </x:c>
      <x:c r="C27" s="1" t="s">
        <x:v>442</x:v>
      </x:c>
      <x:c r="D27" s="11" t="s">
        <x:v>443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6.5" hidden="0" customHeight="1">
      <x:c r="A28" s="11" t="s">
        <x:v>444</x:v>
      </x:c>
      <x:c r="B28" s="11" t="s">
        <x:v>445</x:v>
      </x:c>
      <x:c r="C28" s="1" t="s">
        <x:v>446</x:v>
      </x:c>
      <x:c r="D28" s="11" t="s">
        <x:v>397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6.5" hidden="0" customHeight="1">
      <x:c r="A29" s="11" t="s">
        <x:v>105</x:v>
      </x:c>
      <x:c r="B29" s="1" t="s">
        <x:v>447</x:v>
      </x:c>
      <x:c r="C29" s="1" t="s">
        <x:v>448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6.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6.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6.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6.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6.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6.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6.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6.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6.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6.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6.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6.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6.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6.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6.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6.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6.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6.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6.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6.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6.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6.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6.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6.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6.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6.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6.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6.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6.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6.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6.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6.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6.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6.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6.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6.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6.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6.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6.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6.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6.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6.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6.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6.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6.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6.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6.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6.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6.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6.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6.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6.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6.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6.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6.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6.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6.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6.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6.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6.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6.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6.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6.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6.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6.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6.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</x:sheetData>
  <x:pageMargins left="0.7" right="0.7" top="0.75" bottom="0.75" header="0.3" footer="0.3"/>
</x:worksheet>
</file>